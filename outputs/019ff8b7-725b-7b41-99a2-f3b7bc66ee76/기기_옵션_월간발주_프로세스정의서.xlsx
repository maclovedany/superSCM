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233b99860b48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사용안내" sheetId="1" r:id="Ra40c818ad6f64ec4"/>
    <x:sheet xmlns:r="http://schemas.openxmlformats.org/officeDocument/2006/relationships" name="01_프로세스맵" sheetId="2" r:id="R5f723955d7534316"/>
    <x:sheet xmlns:r="http://schemas.openxmlformats.org/officeDocument/2006/relationships" name="02_상세프로세스" sheetId="3" r:id="R1b74984a66a741a1"/>
    <x:sheet xmlns:r="http://schemas.openxmlformats.org/officeDocument/2006/relationships" name="03_계산규칙" sheetId="4" r:id="Raaac6d2974804293"/>
    <x:sheet xmlns:r="http://schemas.openxmlformats.org/officeDocument/2006/relationships" name="04_데이터정의" sheetId="5" r:id="Rfbe91d2a9a524d2f"/>
    <x:sheet xmlns:r="http://schemas.openxmlformats.org/officeDocument/2006/relationships" name="05_RACI" sheetId="6" r:id="Rceb777fc70b14016"/>
    <x:sheet xmlns:r="http://schemas.openxmlformats.org/officeDocument/2006/relationships" name="06_KPI" sheetId="7" r:id="Rf7945e666e504d04"/>
    <x:sheet xmlns:r="http://schemas.openxmlformats.org/officeDocument/2006/relationships" name="07_발주계산템플릿" sheetId="8" r:id="Ra6aed50de6c446f0"/>
    <x:sheet xmlns:r="http://schemas.openxmlformats.org/officeDocument/2006/relationships" name="08_시스템구축입력사항" sheetId="9" r:id="R84f2f0a3c3894c2b"/>
    <x:sheet xmlns:r="http://schemas.openxmlformats.org/officeDocument/2006/relationships" name="09_샘플자료체크" sheetId="10" r:id="Rc73dff6b9cfe42f8"/>
    <x:sheet xmlns:r="http://schemas.openxmlformats.org/officeDocument/2006/relationships" name="10_정책결정표" sheetId="11" r:id="R3dc9d99d4f59479d"/>
    <x:sheet xmlns:r="http://schemas.openxmlformats.org/officeDocument/2006/relationships" name="11_FXLIVE연계정의" sheetId="12" r:id="R708ca371a2b247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1F1F"/>
      <x:name val="Carlito"/>
    </x:font>
    <x:font>
      <x:b/>
      <x:sz val="11"/>
      <x:color rgb="FF17365D"/>
      <x:name val="Carlito"/>
    </x:font>
    <x:font>
      <x:b/>
      <x:sz val="11"/>
      <x:color rgb="FF1F1F1F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5FB"/>
      </x:patternFill>
    </x:fill>
    <x:fill>
      <x:patternFill patternType="solid">
        <x:fgColor rgb="FFDDEBF7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7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1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6" borderId="2" xfId="0" applyNumberFormat="1" applyFont="1" applyFill="1" applyBorder="1" applyAlignment="1">
      <x:alignment vertical="center" wrapText="1"/>
    </x:xf>
    <x:xf numFmtId="0" fontId="0" fillId="6" borderId="5" xfId="0" applyNumberFormat="1" applyFont="1" applyFill="1" applyBorder="1" applyAlignment="1">
      <x:alignment vertical="center" wrapText="1"/>
    </x:xf>
    <x:xf numFmtId="0" fontId="5" fillId="6" borderId="2" xfId="0" applyNumberFormat="1" applyFont="1" applyFill="1" applyBorder="1" applyAlignment="1">
      <x:alignment vertical="center" wrapText="1"/>
    </x:xf>
    <x:xf numFmtId="0" fontId="5" fillId="6" borderId="5" xfId="0" applyNumberFormat="1" applyFont="1" applyFill="1" applyBorder="1" applyAlignment="1">
      <x:alignment vertical="center" wrapText="1"/>
    </x:xf>
    <x:xf numFmtId="0" fontId="5" fillId="6" borderId="2" xfId="0" applyNumberFormat="1" applyFont="1" applyFill="1" applyBorder="1" applyAlignment="1">
      <x:alignment horizontal="center" vertical="center" wrapText="1"/>
    </x:xf>
    <x:xf numFmtId="0" fontId="5" fillId="6" borderId="5" xfId="0" applyNumberFormat="1" applyFont="1" applyFill="1" applyBorder="1" applyAlignment="1">
      <x:alignment horizontal="center" vertical="center" wrapText="1"/>
    </x:xf>
    <x:xf numFmtId="0" fontId="0" fillId="7" borderId="3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6" borderId="3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0" fillId="8" borderId="3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 applyAlignment="1">
      <x:alignment vertical="center" wrapText="1"/>
    </x:xf>
    <x:xf numFmtId="0" fontId="0" fillId="8" borderId="4" xfId="0" applyNumberFormat="1" applyFont="1" applyFill="1" applyBorder="1" applyAlignment="1">
      <x:alignment vertical="center" wrapText="1"/>
    </x:xf>
    <x:xf numFmtId="0" fontId="0" fillId="8" borderId="6" xfId="0" applyNumberFormat="1" applyFont="1" applyFill="1" applyBorder="1" applyAlignment="1">
      <x:alignment vertical="center" wrapText="1"/>
    </x:xf>
    <x:xf numFmtId="200" fontId="0" fillId="6" borderId="3" xfId="0" applyNumberFormat="1" applyFont="1" applyFill="1" applyBorder="1" applyAlignment="1">
      <x:alignment vertical="center" wrapText="1"/>
    </x:xf>
    <x:xf numFmtId="200" fontId="0" fillId="6" borderId="1" xfId="0" applyNumberFormat="1" applyFont="1" applyFill="1" applyBorder="1" applyAlignment="1">
      <x:alignment vertical="center" wrapText="1"/>
    </x:xf>
    <x:xf numFmtId="200" fontId="0" fillId="7" borderId="3" xfId="0" applyNumberFormat="1" applyFont="1" applyFill="1" applyBorder="1" applyAlignment="1">
      <x:alignment vertical="center" wrapText="1"/>
    </x:xf>
    <x:xf numFmtId="200" fontId="0" fillId="7" borderId="1" xfId="0" applyNumberFormat="1" applyFont="1" applyFill="1" applyBorder="1" applyAlignment="1">
      <x:alignment vertical="center" wrapText="1"/>
    </x:xf>
    <x:xf numFmtId="201" fontId="0" fillId="8" borderId="3" xfId="0" applyNumberFormat="1" applyFont="1" applyFill="1" applyBorder="1" applyAlignment="1">
      <x:alignment vertical="center" wrapText="1"/>
    </x:xf>
    <x:xf numFmtId="201" fontId="0" fillId="8" borderId="1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200" fontId="5" fillId="6" borderId="1" xfId="0" applyNumberFormat="1" applyFont="1" applyFill="1" applyBorder="1"/>
    <x:xf numFmtId="0" fontId="0" fillId="7" borderId="4" xfId="0" applyNumberFormat="1" applyFont="1" applyFill="1" applyBorder="1" applyAlignment="1">
      <x:alignment vertical="center" wrapText="1"/>
    </x:xf>
    <x:xf numFmtId="0" fontId="0" fillId="7" borderId="6" xfId="0" applyNumberFormat="1" applyFont="1" applyFill="1" applyBorder="1" applyAlignment="1">
      <x:alignment vertical="center" wrapText="1"/>
    </x:xf>
    <x:xf numFmtId="0" fontId="0" fillId="7" borderId="3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 applyAlignment="1">
      <x:alignment horizontal="center" vertical="center" wrapText="1"/>
    </x:xf>
    <x:xf numFmtId="0" fontId="0" fillId="7" borderId="4" xfId="0" applyNumberFormat="1" applyFont="1" applyFill="1" applyBorder="1" applyAlignment="1">
      <x:alignment horizontal="center" vertical="center" wrapText="1"/>
    </x:xf>
    <x:xf numFmtId="0" fontId="0" fillId="7" borderId="6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2bde5e86f846b6" /><Relationship Type="http://schemas.openxmlformats.org/officeDocument/2006/relationships/theme" Target="/xl/theme/theme1.xml" Id="R0c66c4e826fb4b7d" /><Relationship Type="http://schemas.openxmlformats.org/officeDocument/2006/relationships/sharedStrings" Target="/xl/sharedStrings.xml" Id="R31f35eddba434445" /><Relationship Type="http://schemas.openxmlformats.org/officeDocument/2006/relationships/worksheet" Target="/xl/worksheets/sheet1.xml" Id="Ra40c818ad6f64ec4" /><Relationship Type="http://schemas.openxmlformats.org/officeDocument/2006/relationships/worksheet" Target="/xl/worksheets/sheet2.xml" Id="R5f723955d7534316" /><Relationship Type="http://schemas.openxmlformats.org/officeDocument/2006/relationships/worksheet" Target="/xl/worksheets/sheet3.xml" Id="R1b74984a66a741a1" /><Relationship Type="http://schemas.openxmlformats.org/officeDocument/2006/relationships/worksheet" Target="/xl/worksheets/sheet4.xml" Id="Raaac6d2974804293" /><Relationship Type="http://schemas.openxmlformats.org/officeDocument/2006/relationships/worksheet" Target="/xl/worksheets/sheet5.xml" Id="Rfbe91d2a9a524d2f" /><Relationship Type="http://schemas.openxmlformats.org/officeDocument/2006/relationships/worksheet" Target="/xl/worksheets/sheet6.xml" Id="Rceb777fc70b14016" /><Relationship Type="http://schemas.openxmlformats.org/officeDocument/2006/relationships/worksheet" Target="/xl/worksheets/sheet7.xml" Id="Rf7945e666e504d04" /><Relationship Type="http://schemas.openxmlformats.org/officeDocument/2006/relationships/worksheet" Target="/xl/worksheets/sheet8.xml" Id="Ra6aed50de6c446f0" /><Relationship Type="http://schemas.openxmlformats.org/officeDocument/2006/relationships/worksheet" Target="/xl/worksheets/sheet9.xml" Id="R84f2f0a3c3894c2b" /><Relationship Type="http://schemas.openxmlformats.org/officeDocument/2006/relationships/worksheet" Target="/xl/worksheets/sheet10.xml" Id="Rc73dff6b9cfe42f8" /><Relationship Type="http://schemas.openxmlformats.org/officeDocument/2006/relationships/worksheet" Target="/xl/worksheets/sheet11.xml" Id="R3dc9d99d4f59479d" /><Relationship Type="http://schemas.openxmlformats.org/officeDocument/2006/relationships/worksheet" Target="/xl/worksheets/sheet12.xml" Id="R708ca371a2b247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20" hidden="0" customWidth="1"/>
    <x:col min="4" max="4" width="42" hidden="0" customWidth="1"/>
    <x:col min="5" max="5" width="20" hidden="0" customWidth="1"/>
    <x:col min="6" max="6" width="42" hidden="0" customWidth="1"/>
  </x:cols>
  <x:sheetData>
    <x:row r="1" ht="30" customHeight="1">
      <x:c r="A1" s="4" t="str">
        <x:v>기기·옵션 월간 수요확정 및 발주 실행 프로세스</x:v>
      </x:c>
      <x:c r="B1" s="4" t="str">
        <x:v>기기·옵션 월간 수요확정 및 발주 실행 프로세스</x:v>
      </x:c>
      <x:c r="C1" s="4" t="str">
        <x:v>기기·옵션 월간 수요확정 및 발주 실행 프로세스</x:v>
      </x:c>
      <x:c r="D1" s="4" t="str">
        <x:v>기기·옵션 월간 수요확정 및 발주 실행 프로세스</x:v>
      </x:c>
      <x:c r="E1" s="4" t="str">
        <x:v>기기·옵션 월간 수요확정 및 발주 실행 프로세스</x:v>
      </x:c>
      <x:c r="F1" s="4" t="str">
        <x:v>기기·옵션 월간 수요확정 및 발주 실행 프로세스</x:v>
      </x:c>
    </x:row>
    <x:row r="2" ht="32" customHeight="1">
      <x:c r="A2" s="8" t="str">
        <x:v>업무 정의서와 발주계산 템플릿을 하나의 파일로 구성한 실무용 기준 문서입니다. 파란색 영역은 기준/입력, 연두색 영역은 산출/완료, 주황색 영역은 확인 또는 예외 검토 대상입니다.</x:v>
      </x:c>
      <x:c r="B2" s="8" t="str">
        <x:v>업무 정의서와 발주계산 템플릿을 하나의 파일로 구성한 실무용 기준 문서입니다. 파란색 영역은 기준/입력, 연두색 영역은 산출/완료, 주황색 영역은 확인 또는 예외 검토 대상입니다.</x:v>
      </x:c>
      <x:c r="C2" s="8" t="str">
        <x:v>업무 정의서와 발주계산 템플릿을 하나의 파일로 구성한 실무용 기준 문서입니다. 파란색 영역은 기준/입력, 연두색 영역은 산출/완료, 주황색 영역은 확인 또는 예외 검토 대상입니다.</x:v>
      </x:c>
      <x:c r="D2" s="8" t="str">
        <x:v>업무 정의서와 발주계산 템플릿을 하나의 파일로 구성한 실무용 기준 문서입니다. 파란색 영역은 기준/입력, 연두색 영역은 산출/완료, 주황색 영역은 확인 또는 예외 검토 대상입니다.</x:v>
      </x:c>
      <x:c r="E2" s="8" t="str">
        <x:v>업무 정의서와 발주계산 템플릿을 하나의 파일로 구성한 실무용 기준 문서입니다. 파란색 영역은 기준/입력, 연두색 영역은 산출/완료, 주황색 영역은 확인 또는 예외 검토 대상입니다.</x:v>
      </x:c>
      <x:c r="F2" s="8" t="str">
        <x:v>업무 정의서와 발주계산 템플릿을 하나의 파일로 구성한 실무용 기준 문서입니다. 파란색 영역은 기준/입력, 연두색 영역은 산출/완료, 주황색 영역은 확인 또는 예외 검토 대상입니다.</x:v>
      </x:c>
    </x:row>
    <x:row r="4" ht="22" customHeight="1">
      <x:c r="A4" s="11" t="str">
        <x:v>시트 구성</x:v>
      </x:c>
      <x:c r="B4" s="11" t="str">
        <x:v>시트 구성</x:v>
      </x:c>
      <x:c r="C4" s="11" t="str">
        <x:v>시트 구성</x:v>
      </x:c>
      <x:c r="D4" s="11" t="str">
        <x:v>시트 구성</x:v>
      </x:c>
      <x:c r="E4" s="11" t="str">
        <x:v>시트 구성</x:v>
      </x:c>
      <x:c r="F4" s="11" t="str">
        <x:v>시트 구성</x:v>
      </x:c>
    </x:row>
    <x:row r="5" ht="28" customHeight="1">
      <x:c r="A5" s="17" t="str">
        <x:v>시트</x:v>
      </x:c>
      <x:c r="B5" s="17" t="str">
        <x:v>용도</x:v>
      </x:c>
      <x:c r="C5" s="17" t="str">
        <x:v>주요 사용자</x:v>
      </x:c>
      <x:c r="D5" s="17" t="str">
        <x:v>업데이트 주기</x:v>
      </x:c>
      <x:c r="E5" s="17" t="str">
        <x:v>핵심 산출물</x:v>
      </x:c>
      <x:c r="F5" s="17" t="str">
        <x:v>사용 방법</x:v>
      </x:c>
    </x:row>
    <x:row r="6">
      <x:c r="A6" s="30" t="str">
        <x:v>01_프로세스맵</x:v>
      </x:c>
      <x:c r="B6" s="31" t="str">
        <x:v>전체 업무 흐름과 단계별 Gate 확인</x:v>
      </x:c>
      <x:c r="C6" s="31" t="str">
        <x:v>전 부서</x:v>
      </x:c>
      <x:c r="D6" s="31" t="str">
        <x:v>프로세스 변경 시</x:v>
      </x:c>
      <x:c r="E6" s="31" t="str">
        <x:v>End-to-End 흐름</x:v>
      </x:c>
      <x:c r="F6" s="32" t="str">
        <x:v>단계와 승인 지점을 확인</x:v>
      </x:c>
    </x:row>
    <x:row r="7">
      <x:c r="A7" s="33" t="str">
        <x:v>02_상세프로세스</x:v>
      </x:c>
      <x:c r="B7" s="34" t="str">
        <x:v>단계별 업무·입력·출력·통제·예외 정의</x:v>
      </x:c>
      <x:c r="C7" s="34" t="str">
        <x:v>수급/구매/물류</x:v>
      </x:c>
      <x:c r="D7" s="34" t="str">
        <x:v>업무 변경 시</x:v>
      </x:c>
      <x:c r="E7" s="34" t="str">
        <x:v>업무 정의서</x:v>
      </x:c>
      <x:c r="F7" s="35" t="str">
        <x:v>담당자와 통제 기준 확인</x:v>
      </x:c>
    </x:row>
    <x:row r="8">
      <x:c r="A8" s="33" t="str">
        <x:v>03_계산규칙</x:v>
      </x:c>
      <x:c r="B8" s="34" t="str">
        <x:v>기기 및 옵션 발주 계산식과 정책</x:v>
      </x:c>
      <x:c r="C8" s="34" t="str">
        <x:v>수급/구매/IT</x:v>
      </x:c>
      <x:c r="D8" s="34" t="str">
        <x:v>정책 변경 시</x:v>
      </x:c>
      <x:c r="E8" s="34" t="str">
        <x:v>계산 로직</x:v>
      </x:c>
      <x:c r="F8" s="35" t="str">
        <x:v>시스템 개발·검증 기준으로 활용</x:v>
      </x:c>
    </x:row>
    <x:row r="9">
      <x:c r="A9" s="33" t="str">
        <x:v>04_데이터정의</x:v>
      </x:c>
      <x:c r="B9" s="34" t="str">
        <x:v>마스터·거래 데이터 항목과 데이터 소유자</x:v>
      </x:c>
      <x:c r="C9" s="34" t="str">
        <x:v>IT/업무담당</x:v>
      </x:c>
      <x:c r="D9" s="34" t="str">
        <x:v>마스터 변경 시</x:v>
      </x:c>
      <x:c r="E9" s="34" t="str">
        <x:v>데이터 사전</x:v>
      </x:c>
      <x:c r="F9" s="35" t="str">
        <x:v>인터페이스와 테이블 설계에 활용</x:v>
      </x:c>
    </x:row>
    <x:row r="10">
      <x:c r="A10" s="33" t="str">
        <x:v>05_RACI</x:v>
      </x:c>
      <x:c r="B10" s="34" t="str">
        <x:v>역할별 책임과 승인 체계</x:v>
      </x:c>
      <x:c r="C10" s="34" t="str">
        <x:v>관리자/각 부서</x:v>
      </x:c>
      <x:c r="D10" s="34" t="str">
        <x:v>조직 변경 시</x:v>
      </x:c>
      <x:c r="E10" s="34" t="str">
        <x:v>RACI 매트릭스</x:v>
      </x:c>
      <x:c r="F10" s="35" t="str">
        <x:v>업무 이관·권한 설계에 활용</x:v>
      </x:c>
    </x:row>
    <x:row r="11">
      <x:c r="A11" s="33" t="str">
        <x:v>06_KPI</x:v>
      </x:c>
      <x:c r="B11" s="34" t="str">
        <x:v>프로세스 성과지표와 산식</x:v>
      </x:c>
      <x:c r="C11" s="34" t="str">
        <x:v>관리자</x:v>
      </x:c>
      <x:c r="D11" s="34" t="str">
        <x:v>월간/분기</x:v>
      </x:c>
      <x:c r="E11" s="34" t="str">
        <x:v>KPI 정의</x:v>
      </x:c>
      <x:c r="F11" s="35" t="str">
        <x:v>운영 후 성과관리 기준으로 활용</x:v>
      </x:c>
    </x:row>
    <x:row r="12">
      <x:c r="A12" s="33" t="str">
        <x:v>07_발주계산템플릿</x:v>
      </x:c>
      <x:c r="B12" s="34" t="str">
        <x:v>기기·옵션 발주량 샘플 계산</x:v>
      </x:c>
      <x:c r="C12" s="34" t="str">
        <x:v>수급/구매</x:v>
      </x:c>
      <x:c r="D12" s="34" t="str">
        <x:v>월간</x:v>
      </x:c>
      <x:c r="E12" s="34" t="str">
        <x:v>순발주량·예외</x:v>
      </x:c>
      <x:c r="F12" s="35" t="str">
        <x:v>입력 열의 샘플값을 실제 데이터로 교체</x:v>
      </x:c>
    </x:row>
    <x:row r="14" ht="22" customHeight="1">
      <x:c r="A14" s="11" t="str">
        <x:v>핵심 용어</x:v>
      </x:c>
      <x:c r="B14" s="11" t="str">
        <x:v>핵심 용어</x:v>
      </x:c>
      <x:c r="C14" s="11" t="str">
        <x:v>핵심 용어</x:v>
      </x:c>
      <x:c r="D14" s="11" t="str">
        <x:v>핵심 용어</x:v>
      </x:c>
      <x:c r="E14" s="11" t="str">
        <x:v>핵심 용어</x:v>
      </x:c>
      <x:c r="F14" s="11" t="str">
        <x:v>핵심 용어</x:v>
      </x:c>
    </x:row>
    <x:row r="15" ht="28" customHeight="1">
      <x:c r="A15" s="17" t="str">
        <x:v>용어</x:v>
      </x:c>
      <x:c r="B15" s="17" t="str">
        <x:v>정의</x:v>
      </x:c>
      <x:c r="C15" s="17" t="str">
        <x:v>용어</x:v>
      </x:c>
      <x:c r="D15" s="17" t="str">
        <x:v>정의</x:v>
      </x:c>
      <x:c r="E15" s="17" t="str">
        <x:v>용어</x:v>
      </x:c>
      <x:c r="F15" s="17" t="str">
        <x:v>정의</x:v>
      </x:c>
    </x:row>
    <x:row r="16">
      <x:c r="A16" s="30" t="str">
        <x:v>OL</x:v>
      </x:c>
      <x:c r="B16" s="31" t="str">
        <x:v>영업부서가 물류에 제출하는 출고 Outlook 수량</x:v>
      </x:c>
      <x:c r="C16" s="31" t="str">
        <x:v>필요월도</x:v>
      </x:c>
      <x:c r="D16" s="31" t="str">
        <x:v>기계·옵션·부품이 실제 필요한 월도</x:v>
      </x:c>
      <x:c r="E16" s="31" t="str">
        <x:v>FX-LIVE</x:v>
      </x:c>
      <x:c r="F16" s="32" t="str">
        <x:v>최종 FIX 후 Supplier 제출 시스템</x:v>
      </x:c>
    </x:row>
    <x:row r="17">
      <x:c r="A17" s="33" t="str">
        <x:v>Flexibility Rule</x:v>
      </x:c>
      <x:c r="B17" s="34" t="str">
        <x:v>Supplier 제출 OL 대비 발주 변경 허용범위</x:v>
      </x:c>
      <x:c r="C17" s="34" t="str">
        <x:v>PRT</x:v>
      </x:c>
      <x:c r="D17" s="34" t="str">
        <x:v>A3/A4 Printer 제품군</x:v>
      </x:c>
      <x:c r="E17" s="34" t="str">
        <x:v>MOQ</x:v>
      </x:c>
      <x:c r="F17" s="35" t="str">
        <x:v>최소 발주 수량 단위</x:v>
      </x:c>
    </x:row>
    <x:row r="18">
      <x:c r="A18" s="33" t="str">
        <x:v>장착율</x:v>
      </x:c>
      <x:c r="B18" s="34" t="str">
        <x:v>기기 판매 시 옵션이 함께 나가는 비율</x:v>
      </x:c>
      <x:c r="C18" s="34" t="str">
        <x:v>Common품</x:v>
      </x:c>
      <x:c r="D18" s="34" t="str">
        <x:v>복수 기종에 공통 사용되는 품목</x:v>
      </x:c>
      <x:c r="E18" s="34" t="str">
        <x:v>옵션 필수품</x:v>
      </x:c>
      <x:c r="F18" s="35" t="str">
        <x:v>출하 시 반드시 포함되는 품목</x:v>
      </x:c>
    </x:row>
    <x:row r="19">
      <x:c r="A19" s="33" t="str">
        <x:v>평균 사용량</x:v>
      </x:c>
      <x:c r="B19" s="34" t="str">
        <x:v>3/6/12개월 기준 옵션·소모품 사용 평균</x:v>
      </x:c>
      <x:c r="C19" s="34" t="str">
        <x:v>BOM</x:v>
      </x:c>
      <x:c r="D19" s="34" t="str">
        <x:v>기종별 구성 자재 명세</x:v>
      </x:c>
      <x:c r="E19" s="34" t="str">
        <x:v>SFDC</x:v>
      </x:c>
      <x:c r="F19" s="35" t="str">
        <x:v>Salesforce 영업 파이프라인</x:v>
      </x:c>
    </x:row>
    <x:row r="20">
      <x:c r="A20" s="33" t="str">
        <x:v>Open PO</x:v>
      </x:c>
      <x:c r="B20" s="34" t="str">
        <x:v>발주했으나 아직 입고되지 않은 발주잔량</x:v>
      </x:c>
      <x:c r="C20" s="34" t="str">
        <x:v>전월말 재고</x:v>
      </x:c>
      <x:c r="D20" s="34" t="str">
        <x:v>전월 말 마감 기준 재고 수량</x:v>
      </x:c>
      <x:c r="E20" s="34" t="str">
        <x:v>수급회의</x:v>
      </x:c>
      <x:c r="F20" s="35" t="str">
        <x:v>월간 수요 최종 검증·확정 회의</x:v>
      </x:c>
    </x:row>
    <x:row r="21">
      <x:c r="A21" s="33" t="str"/>
      <x:c r="B21" s="34" t="str"/>
      <x:c r="C21" s="34" t="str"/>
      <x:c r="D21" s="34" t="str"/>
      <x:c r="E21" s="34" t="str"/>
      <x:c r="F21" s="35" t="str"/>
    </x:row>
    <x:row r="22">
      <x:c r="A22" s="33"/>
      <x:c r="B22" s="34"/>
      <x:c r="C22" s="34"/>
      <x:c r="D22" s="34"/>
      <x:c r="E22" s="34"/>
      <x:c r="F22" s="35"/>
    </x:row>
    <x:row r="23">
      <x:c r="A23" s="33"/>
      <x:c r="B23" s="34"/>
      <x:c r="C23" s="34"/>
      <x:c r="D23" s="34"/>
      <x:c r="E23" s="34"/>
      <x:c r="F23" s="35"/>
    </x:row>
    <x:row r="24">
      <x:c r="A24" s="33"/>
      <x:c r="B24" s="34"/>
      <x:c r="C24" s="34"/>
      <x:c r="D24" s="34"/>
      <x:c r="E24" s="34"/>
      <x:c r="F24" s="35"/>
    </x:row>
  </x:sheetData>
  <x:mergeCells>
    <x:mergeCell ref="A1:F1"/>
    <x:mergeCell ref="A2:F2"/>
    <x:mergeCell ref="A4:F4"/>
    <x:mergeCell ref="A14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44" hidden="0" customWidth="1"/>
    <x:col min="4" max="4" width="42" hidden="0" customWidth="1"/>
    <x:col min="5" max="5" width="34" hidden="0" customWidth="1"/>
    <x:col min="6" max="6" width="22" hidden="0" customWidth="1"/>
    <x:col min="7" max="7" width="20" hidden="0" customWidth="1"/>
  </x:cols>
  <x:sheetData>
    <x:row r="1" ht="30" customHeight="1">
      <x:c r="A1" s="4" t="str">
        <x:v>01. End-to-End 프로세스맵</x:v>
      </x:c>
      <x:c r="B1" s="4" t="str">
        <x:v>01. End-to-End 프로세스맵</x:v>
      </x:c>
      <x:c r="C1" s="4" t="str">
        <x:v>01. End-to-End 프로세스맵</x:v>
      </x:c>
      <x:c r="D1" s="4" t="str">
        <x:v>01. End-to-End 프로세스맵</x:v>
      </x:c>
      <x:c r="E1" s="4" t="str">
        <x:v>01. End-to-End 프로세스맵</x:v>
      </x:c>
      <x:c r="F1" s="4" t="str">
        <x:v>01. End-to-End 프로세스맵</x:v>
      </x:c>
      <x:c r="G1" s="4" t="str">
        <x:v>01. End-to-End 프로세스맵</x:v>
      </x:c>
    </x:row>
    <x:row r="2" ht="32" customHeight="1">
      <x:c r="A2" s="8" t="str">
        <x:v>각 단계는 업무 산출물이 다음 단계의 기준 입력이 되도록 설계합니다. 단계 ⑤ 승인 완료 전에는 단계 ⑥ FX-LIVE 입력을 진행하지 않습니다.</x:v>
      </x:c>
      <x:c r="B2" s="8" t="str">
        <x:v>각 단계는 업무 산출물이 다음 단계의 기준 입력이 되도록 설계합니다. 단계 ⑤ 승인 완료 전에는 단계 ⑥ FX-LIVE 입력을 진행하지 않습니다.</x:v>
      </x:c>
      <x:c r="C2" s="8" t="str">
        <x:v>각 단계는 업무 산출물이 다음 단계의 기준 입력이 되도록 설계합니다. 단계 ⑤ 승인 완료 전에는 단계 ⑥ FX-LIVE 입력을 진행하지 않습니다.</x:v>
      </x:c>
      <x:c r="D2" s="8" t="str">
        <x:v>각 단계는 업무 산출물이 다음 단계의 기준 입력이 되도록 설계합니다. 단계 ⑤ 승인 완료 전에는 단계 ⑥ FX-LIVE 입력을 진행하지 않습니다.</x:v>
      </x:c>
      <x:c r="E2" s="8" t="str">
        <x:v>각 단계는 업무 산출물이 다음 단계의 기준 입력이 되도록 설계합니다. 단계 ⑤ 승인 완료 전에는 단계 ⑥ FX-LIVE 입력을 진행하지 않습니다.</x:v>
      </x:c>
      <x:c r="F2" s="8" t="str">
        <x:v>각 단계는 업무 산출물이 다음 단계의 기준 입력이 되도록 설계합니다. 단계 ⑤ 승인 완료 전에는 단계 ⑥ FX-LIVE 입력을 진행하지 않습니다.</x:v>
      </x:c>
      <x:c r="G2" s="8" t="str">
        <x:v>각 단계는 업무 산출물이 다음 단계의 기준 입력이 되도록 설계합니다. 단계 ⑤ 승인 완료 전에는 단계 ⑥ FX-LIVE 입력을 진행하지 않습니다.</x:v>
      </x:c>
    </x:row>
    <x:row r="4" ht="28" customHeight="1">
      <x:c r="A4" s="17" t="str">
        <x:v>단계</x:v>
      </x:c>
      <x:c r="B4" s="17" t="str">
        <x:v>단계명</x:v>
      </x:c>
      <x:c r="C4" s="17" t="str">
        <x:v>핵심 질문</x:v>
      </x:c>
      <x:c r="D4" s="17" t="str">
        <x:v>주요 입력</x:v>
      </x:c>
      <x:c r="E4" s="17" t="str">
        <x:v>주요 산출물</x:v>
      </x:c>
      <x:c r="F4" s="17" t="str">
        <x:v>Gate/승인</x:v>
      </x:c>
      <x:c r="G4" s="17" t="str">
        <x:v>주요 시스템</x:v>
      </x:c>
    </x:row>
    <x:row r="5">
      <x:c r="A5" s="40" t="str">
        <x:v>0</x:v>
      </x:c>
      <x:c r="B5" s="31" t="str">
        <x:v>OL 취합</x:v>
      </x:c>
      <x:c r="C5" s="31" t="str">
        <x:v>각 영업부서의 OL이 모두 취합되었는가?</x:v>
      </x:c>
      <x:c r="D5" s="31" t="str">
        <x:v>부서별 OL</x:v>
      </x:c>
      <x:c r="E5" s="31" t="str">
        <x:v>통합 OL</x:v>
      </x:c>
      <x:c r="F5" s="31" t="str">
        <x:v>제출완료 확인</x:v>
      </x:c>
      <x:c r="G5" s="32" t="str">
        <x:v>OL 파일/포털</x:v>
      </x:c>
    </x:row>
    <x:row r="6">
      <x:c r="A6" s="41" t="str">
        <x:v>①</x:v>
      </x:c>
      <x:c r="B6" s="34" t="str">
        <x:v>수요 검증·확정</x:v>
      </x:c>
      <x:c r="C6" s="34" t="str">
        <x:v>당월 수요를 발주 기준으로 확정했는가?</x:v>
      </x:c>
      <x:c r="D6" s="34" t="str">
        <x:v>OL, SFDC, Bulk-deal, Trend, 수급회의</x:v>
      </x:c>
      <x:c r="E6" s="34" t="str">
        <x:v>당월 확정 수요</x:v>
      </x:c>
      <x:c r="F6" s="34" t="str">
        <x:v>수급회의 확정</x:v>
      </x:c>
      <x:c r="G6" s="35" t="str">
        <x:v>SFDC/수급관리</x:v>
      </x:c>
    </x:row>
    <x:row r="7">
      <x:c r="A7" s="41" t="str">
        <x:v>②</x:v>
      </x:c>
      <x:c r="B7" s="34" t="str">
        <x:v>재고·Open PO 확인</x:v>
      </x:c>
      <x:c r="C7" s="34" t="str">
        <x:v>필요월도 이전 가용공급을 모두 반영했는가?</x:v>
      </x:c>
      <x:c r="D7" s="34" t="str">
        <x:v>전월말 재고, Open PO</x:v>
      </x:c>
      <x:c r="E7" s="34" t="str">
        <x:v>가용재고·입고예정</x:v>
      </x:c>
      <x:c r="F7" s="34" t="str">
        <x:v>재고 정합성 확인</x:v>
      </x:c>
      <x:c r="G7" s="35" t="str">
        <x:v>재고/구매 시스템</x:v>
      </x:c>
    </x:row>
    <x:row r="8">
      <x:c r="A8" s="41" t="str">
        <x:v>③</x:v>
      </x:c>
      <x:c r="B8" s="34" t="str">
        <x:v>기기 발주량 산출</x:v>
      </x:c>
      <x:c r="C8" s="34" t="str">
        <x:v>기기 수요를 LT·Flex·MOQ에 맞게 발주하는가?</x:v>
      </x:c>
      <x:c r="D8" s="34" t="str">
        <x:v>수요, 재고, LT, Flex, PRT MOQ</x:v>
      </x:c>
      <x:c r="E8" s="34" t="str">
        <x:v>기기 발주량</x:v>
      </x:c>
      <x:c r="F8" s="34" t="str">
        <x:v>예외품목 검토</x:v>
      </x:c>
      <x:c r="G8" s="35" t="str">
        <x:v>발주계산</x:v>
      </x:c>
    </x:row>
    <x:row r="9">
      <x:c r="A9" s="41" t="str">
        <x:v>④</x:v>
      </x:c>
      <x:c r="B9" s="34" t="str">
        <x:v>옵션 발주량 산출</x:v>
      </x:c>
      <x:c r="C9" s="34" t="str">
        <x:v>BOM·장착율·Common·필수품을 반영했는가?</x:v>
      </x:c>
      <x:c r="D9" s="34" t="str">
        <x:v>BOM, 장착율, 평균사용량, 재고</x:v>
      </x:c>
      <x:c r="E9" s="34" t="str">
        <x:v>옵션 발주량</x:v>
      </x:c>
      <x:c r="F9" s="34" t="str">
        <x:v>예외품목 검토</x:v>
      </x:c>
      <x:c r="G9" s="35" t="str">
        <x:v>발주계산</x:v>
      </x:c>
    </x:row>
    <x:row r="10">
      <x:c r="A10" s="41" t="str">
        <x:v>⑤</x:v>
      </x:c>
      <x:c r="B10" s="34" t="str">
        <x:v>보고·승인</x:v>
      </x:c>
      <x:c r="C10" s="34" t="str">
        <x:v>발주금액과 변동 원인이 설명되는가?</x:v>
      </x:c>
      <x:c r="D10" s="34" t="str">
        <x:v>발주량, 단가, 전월/전년, OL</x:v>
      </x:c>
      <x:c r="E10" s="34" t="str">
        <x:v>보고자료·승인본</x:v>
      </x:c>
      <x:c r="F10" s="34" t="str">
        <x:v>사장 승인</x:v>
      </x:c>
      <x:c r="G10" s="35" t="str">
        <x:v>보고/승인</x:v>
      </x:c>
    </x:row>
    <x:row r="11">
      <x:c r="A11" s="41" t="str">
        <x:v>⑥</x:v>
      </x:c>
      <x:c r="B11" s="34" t="str">
        <x:v>FX-LIVE 입력</x:v>
      </x:c>
      <x:c r="C11" s="34" t="str">
        <x:v>승인본과 제출본이 일치하는가?</x:v>
      </x:c>
      <x:c r="D11" s="34" t="str">
        <x:v>승인 발주량</x:v>
      </x:c>
      <x:c r="E11" s="34" t="str">
        <x:v>FIX·Supplier 제출</x:v>
      </x:c>
      <x:c r="F11" s="34" t="str">
        <x:v>입력 결과 검증</x:v>
      </x:c>
      <x:c r="G11" s="35" t="str">
        <x:v>FX-LIVE</x:v>
      </x:c>
    </x:row>
    <x:row r="12">
      <x:c r="A12" s="41" t="str">
        <x:v>⑦</x:v>
      </x:c>
      <x:c r="B12" s="34" t="str">
        <x:v>입고·통관·지급</x:v>
      </x:c>
      <x:c r="C12" s="34" t="str">
        <x:v>계획대로 입고되고 PO Match가 완료되는가?</x:v>
      </x:c>
      <x:c r="D12" s="34" t="str">
        <x:v>선적·통관·입고·Invoice</x:v>
      </x:c>
      <x:c r="E12" s="34" t="str">
        <x:v>입고·검수·지급</x:v>
      </x:c>
      <x:c r="F12" s="34" t="str">
        <x:v>PO Match 완료</x:v>
      </x:c>
      <x:c r="G12" s="35" t="str">
        <x:v>물류/ERP/지급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30" hidden="0" customWidth="1"/>
    <x:col min="4" max="4" width="44" hidden="0" customWidth="1"/>
    <x:col min="5" max="5" width="34" hidden="0" customWidth="1"/>
    <x:col min="6" max="6" width="38" hidden="0" customWidth="1"/>
    <x:col min="7" max="7" width="26" hidden="0" customWidth="1"/>
    <x:col min="8" max="8" width="18" hidden="0" customWidth="1"/>
    <x:col min="9" max="9" width="20" hidden="0" customWidth="1"/>
    <x:col min="10" max="10" width="36" hidden="0" customWidth="1"/>
  </x:cols>
  <x:sheetData>
    <x:row r="1" ht="30" customHeight="1">
      <x:c r="A1" s="4" t="str">
        <x:v>02. 상세 업무 프로세스 정의서</x:v>
      </x:c>
      <x:c r="B1" s="4" t="str">
        <x:v>02. 상세 업무 프로세스 정의서</x:v>
      </x:c>
      <x:c r="C1" s="4" t="str">
        <x:v>02. 상세 업무 프로세스 정의서</x:v>
      </x:c>
      <x:c r="D1" s="4" t="str">
        <x:v>02. 상세 업무 프로세스 정의서</x:v>
      </x:c>
      <x:c r="E1" s="4" t="str">
        <x:v>02. 상세 업무 프로세스 정의서</x:v>
      </x:c>
      <x:c r="F1" s="4" t="str">
        <x:v>02. 상세 업무 프로세스 정의서</x:v>
      </x:c>
      <x:c r="G1" s="4" t="str">
        <x:v>02. 상세 업무 프로세스 정의서</x:v>
      </x:c>
      <x:c r="H1" s="4" t="str">
        <x:v>02. 상세 업무 프로세스 정의서</x:v>
      </x:c>
      <x:c r="I1" s="4" t="str">
        <x:v>02. 상세 업무 프로세스 정의서</x:v>
      </x:c>
      <x:c r="J1" s="4" t="str">
        <x:v>02. 상세 업무 프로세스 정의서</x:v>
      </x:c>
    </x:row>
    <x:row r="2" ht="32" customHeight="1">
      <x:c r="A2" s="8" t="str">
        <x:v>프로세스 분석 관점: 업무목적, 트리거, 입력, 활동, 판단기준, 산출물, 담당, 통제, 예외를 한 행 단위로 관리합니다.</x:v>
      </x:c>
      <x:c r="B2" s="8" t="str">
        <x:v>프로세스 분석 관점: 업무목적, 트리거, 입력, 활동, 판단기준, 산출물, 담당, 통제, 예외를 한 행 단위로 관리합니다.</x:v>
      </x:c>
      <x:c r="C2" s="8" t="str">
        <x:v>프로세스 분석 관점: 업무목적, 트리거, 입력, 활동, 판단기준, 산출물, 담당, 통제, 예외를 한 행 단위로 관리합니다.</x:v>
      </x:c>
      <x:c r="D2" s="8" t="str">
        <x:v>프로세스 분석 관점: 업무목적, 트리거, 입력, 활동, 판단기준, 산출물, 담당, 통제, 예외를 한 행 단위로 관리합니다.</x:v>
      </x:c>
      <x:c r="E2" s="8" t="str">
        <x:v>프로세스 분석 관점: 업무목적, 트리거, 입력, 활동, 판단기준, 산출물, 담당, 통제, 예외를 한 행 단위로 관리합니다.</x:v>
      </x:c>
      <x:c r="F2" s="8" t="str">
        <x:v>프로세스 분석 관점: 업무목적, 트리거, 입력, 활동, 판단기준, 산출물, 담당, 통제, 예외를 한 행 단위로 관리합니다.</x:v>
      </x:c>
      <x:c r="G2" s="8" t="str">
        <x:v>프로세스 분석 관점: 업무목적, 트리거, 입력, 활동, 판단기준, 산출물, 담당, 통제, 예외를 한 행 단위로 관리합니다.</x:v>
      </x:c>
      <x:c r="H2" s="8" t="str">
        <x:v>프로세스 분석 관점: 업무목적, 트리거, 입력, 활동, 판단기준, 산출물, 담당, 통제, 예외를 한 행 단위로 관리합니다.</x:v>
      </x:c>
      <x:c r="I2" s="8" t="str">
        <x:v>프로세스 분석 관점: 업무목적, 트리거, 입력, 활동, 판단기준, 산출물, 담당, 통제, 예외를 한 행 단위로 관리합니다.</x:v>
      </x:c>
      <x:c r="J2" s="8" t="str">
        <x:v>프로세스 분석 관점: 업무목적, 트리거, 입력, 활동, 판단기준, 산출물, 담당, 통제, 예외를 한 행 단위로 관리합니다.</x:v>
      </x:c>
    </x:row>
    <x:row r="4" ht="28" customHeight="1">
      <x:c r="A4" s="17" t="str">
        <x:v>단계</x:v>
      </x:c>
      <x:c r="B4" s="17" t="str">
        <x:v>세부단계</x:v>
      </x:c>
      <x:c r="C4" s="17" t="str">
        <x:v>업무 목적</x:v>
      </x:c>
      <x:c r="D4" s="17" t="str">
        <x:v>주요 활동</x:v>
      </x:c>
      <x:c r="E4" s="17" t="str">
        <x:v>입력 데이터</x:v>
      </x:c>
      <x:c r="F4" s="17" t="str">
        <x:v>판단/규칙</x:v>
      </x:c>
      <x:c r="G4" s="17" t="str">
        <x:v>산출물</x:v>
      </x:c>
      <x:c r="H4" s="17" t="str">
        <x:v>주담당</x:v>
      </x:c>
      <x:c r="I4" s="17" t="str">
        <x:v>검토/승인</x:v>
      </x:c>
      <x:c r="J4" s="17" t="str">
        <x:v>예외·통제</x:v>
      </x:c>
    </x:row>
    <x:row r="5">
      <x:c r="A5" s="40" t="str">
        <x:v>0</x:v>
      </x:c>
      <x:c r="B5" s="31" t="str">
        <x:v>OL 취합</x:v>
      </x:c>
      <x:c r="C5" s="31" t="str">
        <x:v>영업부서 수요를 통합</x:v>
      </x:c>
      <x:c r="D5" s="31" t="str">
        <x:v>부서별 OL 수집·통합, 필요월도/품목코드 표준화</x:v>
      </x:c>
      <x:c r="E5" s="31" t="str">
        <x:v>부서별 OL</x:v>
      </x:c>
      <x:c r="F5" s="31" t="str">
        <x:v>제출기한·누락 여부</x:v>
      </x:c>
      <x:c r="G5" s="31" t="str">
        <x:v>통합 OL</x:v>
      </x:c>
      <x:c r="H5" s="31" t="str">
        <x:v>영업/수급</x:v>
      </x:c>
      <x:c r="I5" s="31" t="str">
        <x:v>수급 담당</x:v>
      </x:c>
      <x:c r="J5" s="32" t="str">
        <x:v>누락·중복·코드 오류</x:v>
      </x:c>
    </x:row>
    <x:row r="6">
      <x:c r="A6" s="41" t="str">
        <x:v>①</x:v>
      </x:c>
      <x:c r="B6" s="34" t="str">
        <x:v>OL 자료 검증</x:v>
      </x:c>
      <x:c r="C6" s="34" t="str">
        <x:v>오기입 및 기준 오류 제거</x:v>
      </x:c>
      <x:c r="D6" s="34" t="str">
        <x:v>수량·월도·기종·품목코드·중복 검증</x:v>
      </x:c>
      <x:c r="E6" s="34" t="str">
        <x:v>통합 OL</x:v>
      </x:c>
      <x:c r="F6" s="34" t="str">
        <x:v>전월 대비 이상증감 경고</x:v>
      </x:c>
      <x:c r="G6" s="34" t="str">
        <x:v>검증완료 OL</x:v>
      </x:c>
      <x:c r="H6" s="34" t="str">
        <x:v>수급 담당</x:v>
      </x:c>
      <x:c r="I6" s="34" t="str">
        <x:v>영업부서</x:v>
      </x:c>
      <x:c r="J6" s="35" t="str">
        <x:v>반송·수정이력 필수</x:v>
      </x:c>
    </x:row>
    <x:row r="7">
      <x:c r="A7" s="41" t="str">
        <x:v>①</x:v>
      </x:c>
      <x:c r="B7" s="34" t="str">
        <x:v>SFDC 중요 파이프라인 확인</x:v>
      </x:c>
      <x:c r="C7" s="34" t="str">
        <x:v>OL 외 실현 가능 수요 반영</x:v>
      </x:c>
      <x:c r="D7" s="34" t="str">
        <x:v>중요 Deal·예상월도·수량 확인</x:v>
      </x:c>
      <x:c r="E7" s="34" t="str">
        <x:v>SFDC</x:v>
      </x:c>
      <x:c r="F7" s="34" t="str">
        <x:v>수주 가능성·발주 선행 필요성</x:v>
      </x:c>
      <x:c r="G7" s="34" t="str">
        <x:v>파이프라인 반영안</x:v>
      </x:c>
      <x:c r="H7" s="34" t="str">
        <x:v>영업</x:v>
      </x:c>
      <x:c r="I7" s="34" t="str">
        <x:v>수급회의</x:v>
      </x:c>
      <x:c r="J7" s="35" t="str">
        <x:v>조건부·참고 수요 구분</x:v>
      </x:c>
    </x:row>
    <x:row r="8">
      <x:c r="A8" s="41" t="str">
        <x:v>①</x:v>
      </x:c>
      <x:c r="B8" s="34" t="str">
        <x:v>Bulk-deal 확인</x:v>
      </x:c>
      <x:c r="C8" s="34" t="str">
        <x:v>대형 거래의 선행재고 결정</x:v>
      </x:c>
      <x:c r="D8" s="34" t="str">
        <x:v>OL 외 Bulk-deal 식별, 선확보 여부 검토</x:v>
      </x:c>
      <x:c r="E8" s="34" t="str">
        <x:v>영업자료·SFDC</x:v>
      </x:c>
      <x:c r="F8" s="34" t="str">
        <x:v>수주 확정도·재고위험</x:v>
      </x:c>
      <x:c r="G8" s="34" t="str">
        <x:v>Bulk-deal 수요</x:v>
      </x:c>
      <x:c r="H8" s="34" t="str">
        <x:v>영업/수급</x:v>
      </x:c>
      <x:c r="I8" s="34" t="str">
        <x:v>수급회의</x:v>
      </x:c>
      <x:c r="J8" s="35" t="str">
        <x:v>실패 시 잉여재고 위험</x:v>
      </x:c>
    </x:row>
    <x:row r="9">
      <x:c r="A9" s="41" t="str">
        <x:v>①</x:v>
      </x:c>
      <x:c r="B9" s="34" t="str">
        <x:v>과거 실적 Trend 확인</x:v>
      </x:c>
      <x:c r="C9" s="34" t="str">
        <x:v>수요 타당성 검증</x:v>
      </x:c>
      <x:c r="D9" s="34" t="str">
        <x:v>3/6/12개월 및 전년 동월 비교</x:v>
      </x:c>
      <x:c r="E9" s="34" t="str">
        <x:v>출고·판매 실적</x:v>
      </x:c>
      <x:c r="F9" s="34" t="str">
        <x:v>계절성·편차 확인</x:v>
      </x:c>
      <x:c r="G9" s="34" t="str">
        <x:v>Trend 분석</x:v>
      </x:c>
      <x:c r="H9" s="34" t="str">
        <x:v>수급 담당</x:v>
      </x:c>
      <x:c r="I9" s="34" t="str">
        <x:v>수급회의</x:v>
      </x:c>
      <x:c r="J9" s="35" t="str">
        <x:v>OL과 큰 차이 원인 기록</x:v>
      </x:c>
    </x:row>
    <x:row r="10">
      <x:c r="A10" s="41" t="str">
        <x:v>①</x:v>
      </x:c>
      <x:c r="B10" s="34" t="str">
        <x:v>수급회의 개최</x:v>
      </x:c>
      <x:c r="C10" s="34" t="str">
        <x:v>수요 최종 검증</x:v>
      </x:c>
      <x:c r="D10" s="34" t="str">
        <x:v>OL·SFDC·Bulk-deal·Trend 논의</x:v>
      </x:c>
      <x:c r="E10" s="34" t="str">
        <x:v>수요 분석자료</x:v>
      </x:c>
      <x:c r="F10" s="34" t="str">
        <x:v>수요·Bulk-deal·선확보 결정</x:v>
      </x:c>
      <x:c r="G10" s="34" t="str">
        <x:v>회의록·결정사항</x:v>
      </x:c>
      <x:c r="H10" s="34" t="str">
        <x:v>수급 담당</x:v>
      </x:c>
      <x:c r="I10" s="34" t="str">
        <x:v>회의 참석자</x:v>
      </x:c>
      <x:c r="J10" s="35" t="str">
        <x:v>결정자·일자 기록</x:v>
      </x:c>
    </x:row>
    <x:row r="11">
      <x:c r="A11" s="41" t="str">
        <x:v>①</x:v>
      </x:c>
      <x:c r="B11" s="34" t="str">
        <x:v>당월 수요 확정</x:v>
      </x:c>
      <x:c r="C11" s="34" t="str">
        <x:v>발주계산 기준 확정</x:v>
      </x:c>
      <x:c r="D11" s="34" t="str">
        <x:v>확정/조건부/참고/제외 수요 상태화</x:v>
      </x:c>
      <x:c r="E11" s="34" t="str">
        <x:v>회의 결정사항</x:v>
      </x:c>
      <x:c r="F11" s="34" t="str">
        <x:v>확정량·조정사유</x:v>
      </x:c>
      <x:c r="G11" s="34" t="str">
        <x:v>당월 확정 수요</x:v>
      </x:c>
      <x:c r="H11" s="34" t="str">
        <x:v>수급 담당</x:v>
      </x:c>
      <x:c r="I11" s="34" t="str">
        <x:v>부서장</x:v>
      </x:c>
      <x:c r="J11" s="35" t="str">
        <x:v>버전·변경이력 관리</x:v>
      </x:c>
    </x:row>
    <x:row r="12">
      <x:c r="A12" s="41" t="str">
        <x:v>②</x:v>
      </x:c>
      <x:c r="B12" s="34" t="str">
        <x:v>전월말 기기 재고 조회</x:v>
      </x:c>
      <x:c r="C12" s="34" t="str">
        <x:v>사용 가능한 공급량 확인</x:v>
      </x:c>
      <x:c r="D12" s="34" t="str">
        <x:v>전월 말 재고·보류·출고대기 구분</x:v>
      </x:c>
      <x:c r="E12" s="34" t="str">
        <x:v>재고 시스템</x:v>
      </x:c>
      <x:c r="F12" s="34" t="str">
        <x:v>정상 가용재고만 반영</x:v>
      </x:c>
      <x:c r="G12" s="34" t="str">
        <x:v>가용재고</x:v>
      </x:c>
      <x:c r="H12" s="34" t="str">
        <x:v>물류/수급</x:v>
      </x:c>
      <x:c r="I12" s="34" t="str">
        <x:v>재고 담당</x:v>
      </x:c>
      <x:c r="J12" s="35" t="str">
        <x:v>재고 정합성 확인</x:v>
      </x:c>
    </x:row>
    <x:row r="13">
      <x:c r="A13" s="41" t="str">
        <x:v>②</x:v>
      </x:c>
      <x:c r="B13" s="34" t="str">
        <x:v>Open PO 확인</x:v>
      </x:c>
      <x:c r="C13" s="34" t="str">
        <x:v>미입고 공급 반영</x:v>
      </x:c>
      <x:c r="D13" s="34" t="str">
        <x:v>PO 상태별 필요월도 입고 가능성 확인</x:v>
      </x:c>
      <x:c r="E13" s="34" t="str">
        <x:v>Open PO·납기</x:v>
      </x:c>
      <x:c r="F13" s="34" t="str">
        <x:v>필요월도 전 입고 가능분만 반영</x:v>
      </x:c>
      <x:c r="G13" s="34" t="str">
        <x:v>가용 Open PO</x:v>
      </x:c>
      <x:c r="H13" s="34" t="str">
        <x:v>구매/수급</x:v>
      </x:c>
      <x:c r="I13" s="34" t="str">
        <x:v>구매 담당</x:v>
      </x:c>
      <x:c r="J13" s="35" t="str">
        <x:v>납기 미확정 별도 관리</x:v>
      </x:c>
    </x:row>
    <x:row r="14">
      <x:c r="A14" s="41" t="str">
        <x:v>③</x:v>
      </x:c>
      <x:c r="B14" s="34" t="str">
        <x:v>입고 필요월도 결정</x:v>
      </x:c>
      <x:c r="C14" s="34" t="str">
        <x:v>고객 출고에 맞는 입고시점 결정</x:v>
      </x:c>
      <x:c r="D14" s="34" t="str">
        <x:v>출고예측·운송·통관·안전재고 역산</x:v>
      </x:c>
      <x:c r="E14" s="34" t="str">
        <x:v>확정 수요·재고</x:v>
      </x:c>
      <x:c r="F14" s="34" t="str">
        <x:v>필요월도별 부족 확인</x:v>
      </x:c>
      <x:c r="G14" s="34" t="str">
        <x:v>입고 필요월도</x:v>
      </x:c>
      <x:c r="H14" s="34" t="str">
        <x:v>수급/물류</x:v>
      </x:c>
      <x:c r="I14" s="34" t="str">
        <x:v>구매 담당</x:v>
      </x:c>
      <x:c r="J14" s="35" t="str">
        <x:v>긴급·Bulk-deal 별도 표시</x:v>
      </x:c>
    </x:row>
    <x:row r="15">
      <x:c r="A15" s="41" t="str">
        <x:v>③</x:v>
      </x:c>
      <x:c r="B15" s="34" t="str">
        <x:v>Lead Time 확인</x:v>
      </x:c>
      <x:c r="C15" s="34" t="str">
        <x:v>발주 가능시점 검증</x:v>
      </x:c>
      <x:c r="D15" s="34" t="str">
        <x:v>상해·심천·홍콩·베트남·도쿄·요코하마·나고야·네덜란드별 LT 적용</x:v>
      </x:c>
      <x:c r="E15" s="34" t="str">
        <x:v>Supplier LT 마스터</x:v>
      </x:c>
      <x:c r="F15" s="34" t="str">
        <x:v>발주월→도착월 가능성</x:v>
      </x:c>
      <x:c r="G15" s="34" t="str">
        <x:v>LT 검증결과</x:v>
      </x:c>
      <x:c r="H15" s="34" t="str">
        <x:v>구매</x:v>
      </x:c>
      <x:c r="I15" s="34" t="str">
        <x:v>수급 담당</x:v>
      </x:c>
      <x:c r="J15" s="35" t="str">
        <x:v>천재지변·운송지연 반영</x:v>
      </x:c>
    </x:row>
    <x:row r="16">
      <x:c r="A16" s="41" t="str">
        <x:v>③</x:v>
      </x:c>
      <x:c r="B16" s="34" t="str">
        <x:v>기기 소요량 계산</x:v>
      </x:c>
      <x:c r="C16" s="34" t="str">
        <x:v>기기 순발주량 도출</x:v>
      </x:c>
      <x:c r="D16" s="34" t="str">
        <x:v>수요+목표재고-가용재고-Open PO</x:v>
      </x:c>
      <x:c r="E16" s="34" t="str">
        <x:v>확정 수요·재고</x:v>
      </x:c>
      <x:c r="F16" s="34" t="str">
        <x:v>음수는 0 처리</x:v>
      </x:c>
      <x:c r="G16" s="34" t="str">
        <x:v>기기 계산량</x:v>
      </x:c>
      <x:c r="H16" s="34" t="str">
        <x:v>수급</x:v>
      </x:c>
      <x:c r="I16" s="34" t="str">
        <x:v>구매 검토</x:v>
      </x:c>
      <x:c r="J16" s="35" t="str">
        <x:v>대체기종·단종 검토</x:v>
      </x:c>
    </x:row>
    <x:row r="17">
      <x:c r="A17" s="41" t="str">
        <x:v>③</x:v>
      </x:c>
      <x:c r="B17" s="34" t="str">
        <x:v>Flexibility Rule 검증</x:v>
      </x:c>
      <x:c r="C17" s="34" t="str">
        <x:v>Supplier 허용변동 준수</x:v>
      </x:c>
      <x:c r="D17" s="34" t="str">
        <x:v>전월 ±20%, 전전월 ±30% 비교</x:v>
      </x:c>
      <x:c r="E17" s="34" t="str">
        <x:v>전월/전전월 OL·발주량</x:v>
      </x:c>
      <x:c r="F17" s="34" t="str">
        <x:v>초과 시 경고·예외승인</x:v>
      </x:c>
      <x:c r="G17" s="34" t="str">
        <x:v>Flex 검증결과</x:v>
      </x:c>
      <x:c r="H17" s="34" t="str">
        <x:v>수급/구매</x:v>
      </x:c>
      <x:c r="I17" s="34" t="str">
        <x:v>관리자</x:v>
      </x:c>
      <x:c r="J17" s="35" t="str">
        <x:v>누적/독립 적용기준 확정 필요</x:v>
      </x:c>
    </x:row>
    <x:row r="18">
      <x:c r="A18" s="41" t="str">
        <x:v>③</x:v>
      </x:c>
      <x:c r="B18" s="34" t="str">
        <x:v>PRT MOQ 적용</x:v>
      </x:c>
      <x:c r="C18" s="34" t="str">
        <x:v>A3/A4 Printer 최소발주 적용</x:v>
      </x:c>
      <x:c r="D18" s="34" t="str">
        <x:v>계산량을 MOQ 단위로 올림</x:v>
      </x:c>
      <x:c r="E18" s="34" t="str">
        <x:v>기기 계산량·MOQ</x:v>
      </x:c>
      <x:c r="F18" s="34" t="str">
        <x:v>CEILING 적용</x:v>
      </x:c>
      <x:c r="G18" s="34" t="str">
        <x:v>최종 기기 발주량</x:v>
      </x:c>
      <x:c r="H18" s="34" t="str">
        <x:v>수급/구매</x:v>
      </x:c>
      <x:c r="I18" s="34" t="str">
        <x:v>관리자</x:v>
      </x:c>
      <x:c r="J18" s="35" t="str">
        <x:v>MOQ 초과분·잉여재고 표시</x:v>
      </x:c>
    </x:row>
    <x:row r="19">
      <x:c r="A19" s="41" t="str">
        <x:v>④</x:v>
      </x:c>
      <x:c r="B19" s="34" t="str">
        <x:v>기기별 필수 옵션 식별</x:v>
      </x:c>
      <x:c r="C19" s="34" t="str">
        <x:v>기기 출하에 필요한 옵션 확보</x:v>
      </x:c>
      <x:c r="D19" s="34" t="str">
        <x:v>기종별 필수품·BOM 확인</x:v>
      </x:c>
      <x:c r="E19" s="34" t="str">
        <x:v>BOM·필수품 마스터</x:v>
      </x:c>
      <x:c r="F19" s="34" t="str">
        <x:v>필수품은 장착율과 별도 처리</x:v>
      </x:c>
      <x:c r="G19" s="34" t="str">
        <x:v>필수 옵션 수요</x:v>
      </x:c>
      <x:c r="H19" s="34" t="str">
        <x:v>수급/구매</x:v>
      </x:c>
      <x:c r="I19" s="34" t="str">
        <x:v>마스터 담당</x:v>
      </x:c>
      <x:c r="J19" s="35" t="str">
        <x:v>BOM 누락 차단</x:v>
      </x:c>
    </x:row>
    <x:row r="20">
      <x:c r="A20" s="41" t="str">
        <x:v>④</x:v>
      </x:c>
      <x:c r="B20" s="34" t="str">
        <x:v>기기 장착율 확인</x:v>
      </x:c>
      <x:c r="C20" s="34" t="str">
        <x:v>선택 옵션 수요 계산</x:v>
      </x:c>
      <x:c r="D20" s="34" t="str">
        <x:v>기종별 장착율 적용</x:v>
      </x:c>
      <x:c r="E20" s="34" t="str">
        <x:v>장착율 마스터·실적</x:v>
      </x:c>
      <x:c r="F20" s="34" t="str">
        <x:v>기종/채널별 장착율</x:v>
      </x:c>
      <x:c r="G20" s="34" t="str">
        <x:v>장착 기반 수요</x:v>
      </x:c>
      <x:c r="H20" s="34" t="str">
        <x:v>수급</x:v>
      </x:c>
      <x:c r="I20" s="34" t="str">
        <x:v>영업 검토</x:v>
      </x:c>
      <x:c r="J20" s="35" t="str">
        <x:v>장착율 기준기간 기록</x:v>
      </x:c>
    </x:row>
    <x:row r="21">
      <x:c r="A21" s="41" t="str">
        <x:v>④</x:v>
      </x:c>
      <x:c r="B21" s="34" t="str">
        <x:v>평균 사용량 확인</x:v>
      </x:c>
      <x:c r="C21" s="34" t="str">
        <x:v>소모품·부품 보정</x:v>
      </x:c>
      <x:c r="D21" s="34" t="str">
        <x:v>3/6/12개월 평균 사용량 적용</x:v>
      </x:c>
      <x:c r="E21" s="34" t="str">
        <x:v>사용 실적</x:v>
      </x:c>
      <x:c r="F21" s="34" t="str">
        <x:v>품목별 기준기간</x:v>
      </x:c>
      <x:c r="G21" s="34" t="str">
        <x:v>평균사용량 수요</x:v>
      </x:c>
      <x:c r="H21" s="34" t="str">
        <x:v>수급</x:v>
      </x:c>
      <x:c r="I21" s="34" t="str">
        <x:v>구매 검토</x:v>
      </x:c>
      <x:c r="J21" s="35" t="str">
        <x:v>이상치·단종품 제외</x:v>
      </x:c>
    </x:row>
    <x:row r="22">
      <x:c r="A22" s="41" t="str">
        <x:v>④</x:v>
      </x:c>
      <x:c r="B22" s="34" t="str">
        <x:v>옵션 소요량 산출</x:v>
      </x:c>
      <x:c r="C22" s="34" t="str">
        <x:v>옵션 총수요 도출</x:v>
      </x:c>
      <x:c r="D22" s="34" t="str">
        <x:v>장착수요+필수품+평균사용량+Bulk-deal</x:v>
      </x:c>
      <x:c r="E22" s="34" t="str">
        <x:v>BOM·장착율·평균사용량</x:v>
      </x:c>
      <x:c r="F22" s="34" t="str">
        <x:v>기종별·월도별 계산</x:v>
      </x:c>
      <x:c r="G22" s="34" t="str">
        <x:v>옵션 계산량</x:v>
      </x:c>
      <x:c r="H22" s="34" t="str">
        <x:v>수급</x:v>
      </x:c>
      <x:c r="I22" s="34" t="str">
        <x:v>구매 검토</x:v>
      </x:c>
      <x:c r="J22" s="35" t="str">
        <x:v>기기와 옵션 수량 일치 검증</x:v>
      </x:c>
    </x:row>
    <x:row r="23">
      <x:c r="A23" s="41" t="str">
        <x:v>④</x:v>
      </x:c>
      <x:c r="B23" s="34" t="str">
        <x:v>Common품 합산</x:v>
      </x:c>
      <x:c r="C23" s="34" t="str">
        <x:v>복수기종 공용품 중복방지</x:v>
      </x:c>
      <x:c r="D23" s="34" t="str">
        <x:v>기종별 수요를 품목코드 기준 합산</x:v>
      </x:c>
      <x:c r="E23" s="34" t="str">
        <x:v>Common 관계·BOM</x:v>
      </x:c>
      <x:c r="F23" s="34" t="str">
        <x:v>공용품 단일 발주</x:v>
      </x:c>
      <x:c r="G23" s="34" t="str">
        <x:v>Common 총수요</x:v>
      </x:c>
      <x:c r="H23" s="34" t="str">
        <x:v>수급</x:v>
      </x:c>
      <x:c r="I23" s="34" t="str">
        <x:v>구매 검토</x:v>
      </x:c>
      <x:c r="J23" s="35" t="str">
        <x:v>중복발주 자동검증</x:v>
      </x:c>
    </x:row>
    <x:row r="24">
      <x:c r="A24" s="41" t="str">
        <x:v>④</x:v>
      </x:c>
      <x:c r="B24" s="34" t="str">
        <x:v>옵션 필수품 확인</x:v>
      </x:c>
      <x:c r="C24" s="34" t="str">
        <x:v>출하 필수 옵션 확보</x:v>
      </x:c>
      <x:c r="D24" s="34" t="str">
        <x:v>특정 기기/옵션 출하 조건 반영</x:v>
      </x:c>
      <x:c r="E24" s="34" t="str">
        <x:v>필수품 관계</x:v>
      </x:c>
      <x:c r="F24" s="34" t="str">
        <x:v>100% 또는 BOM 기준</x:v>
      </x:c>
      <x:c r="G24" s="34" t="str">
        <x:v>필수품 보정량</x:v>
      </x:c>
      <x:c r="H24" s="34" t="str">
        <x:v>수급</x:v>
      </x:c>
      <x:c r="I24" s="34" t="str">
        <x:v>마스터 담당</x:v>
      </x:c>
      <x:c r="J24" s="35" t="str">
        <x:v>필수품 누락 경고</x:v>
      </x:c>
    </x:row>
    <x:row r="25">
      <x:c r="A25" s="41" t="str">
        <x:v>④</x:v>
      </x:c>
      <x:c r="B25" s="34" t="str">
        <x:v>옵션 재고 차감</x:v>
      </x:c>
      <x:c r="C25" s="34" t="str">
        <x:v>가용재고 반영</x:v>
      </x:c>
      <x:c r="D25" s="34" t="str">
        <x:v>전월말 재고·Open PO 차감</x:v>
      </x:c>
      <x:c r="E25" s="34" t="str">
        <x:v>옵션 재고·Open PO</x:v>
      </x:c>
      <x:c r="F25" s="34" t="str">
        <x:v>필요월도 전 입고분 차감</x:v>
      </x:c>
      <x:c r="G25" s="34" t="str">
        <x:v>옵션 순발주량</x:v>
      </x:c>
      <x:c r="H25" s="34" t="str">
        <x:v>수급</x:v>
      </x:c>
      <x:c r="I25" s="34" t="str">
        <x:v>물류/구매</x:v>
      </x:c>
      <x:c r="J25" s="35" t="str">
        <x:v>보류재고 제외</x:v>
      </x:c>
    </x:row>
    <x:row r="26">
      <x:c r="A26" s="41" t="str">
        <x:v>④</x:v>
      </x:c>
      <x:c r="B26" s="34" t="str">
        <x:v>LT·필요월도·Flex 반영</x:v>
      </x:c>
      <x:c r="C26" s="34" t="str">
        <x:v>납기 및 변경허용 반영</x:v>
      </x:c>
      <x:c r="D26" s="34" t="str">
        <x:v>옵션별 LT·필요월도·Flex 검증</x:v>
      </x:c>
      <x:c r="E26" s="34" t="str">
        <x:v>옵션 마스터</x:v>
      </x:c>
      <x:c r="F26" s="34" t="str">
        <x:v>초과·납기불가 예외처리</x:v>
      </x:c>
      <x:c r="G26" s="34" t="str">
        <x:v>검증 발주량</x:v>
      </x:c>
      <x:c r="H26" s="34" t="str">
        <x:v>수급/구매</x:v>
      </x:c>
      <x:c r="I26" s="34" t="str">
        <x:v>관리자</x:v>
      </x:c>
      <x:c r="J26" s="35" t="str">
        <x:v>예외사유 필수</x:v>
      </x:c>
    </x:row>
    <x:row r="27">
      <x:c r="A27" s="41" t="str">
        <x:v>④</x:v>
      </x:c>
      <x:c r="B27" s="34" t="str">
        <x:v>옵션 MOQ 적용</x:v>
      </x:c>
      <x:c r="C27" s="34" t="str">
        <x:v>최소발주 단위 적용</x:v>
      </x:c>
      <x:c r="D27" s="34" t="str">
        <x:v>옵션별 MOQ 반올림</x:v>
      </x:c>
      <x:c r="E27" s="34" t="str">
        <x:v>옵션 순발주량·MOQ</x:v>
      </x:c>
      <x:c r="F27" s="34" t="str">
        <x:v>CEILING 적용</x:v>
      </x:c>
      <x:c r="G27" s="34" t="str">
        <x:v>최종 옵션 발주량</x:v>
      </x:c>
      <x:c r="H27" s="34" t="str">
        <x:v>수급/구매</x:v>
      </x:c>
      <x:c r="I27" s="34" t="str">
        <x:v>관리자</x:v>
      </x:c>
      <x:c r="J27" s="35" t="str">
        <x:v>초과수량·잉여금액 표시</x:v>
      </x:c>
    </x:row>
    <x:row r="28">
      <x:c r="A28" s="41" t="str">
        <x:v>⑤</x:v>
      </x:c>
      <x:c r="B28" s="34" t="str">
        <x:v>발주금액 집계</x:v>
      </x:c>
      <x:c r="C28" s="34" t="str">
        <x:v>보고 기준 금액 확정</x:v>
      </x:c>
      <x:c r="D28" s="34" t="str">
        <x:v>기기·옵션·부품·소모품 합산</x:v>
      </x:c>
      <x:c r="E28" s="34" t="str">
        <x:v>최종 발주량·단가</x:v>
      </x:c>
      <x:c r="F28" s="34" t="str">
        <x:v>Supplier·상품군별 집계</x:v>
      </x:c>
      <x:c r="G28" s="34" t="str">
        <x:v>총 발주금액</x:v>
      </x:c>
      <x:c r="H28" s="34" t="str">
        <x:v>수급/구매</x:v>
      </x:c>
      <x:c r="I28" s="34" t="str">
        <x:v>재무</x:v>
      </x:c>
      <x:c r="J28" s="35" t="str">
        <x:v>단가·통화 검증</x:v>
      </x:c>
    </x:row>
    <x:row r="29">
      <x:c r="A29" s="41" t="str">
        <x:v>⑤</x:v>
      </x:c>
      <x:c r="B29" s="34" t="str">
        <x:v>비교·원인 확인</x:v>
      </x:c>
      <x:c r="C29" s="34" t="str">
        <x:v>발주 변동 설명</x:v>
      </x:c>
      <x:c r="D29" s="34" t="str">
        <x:v>전월·작년 동월·OL 대비 비교</x:v>
      </x:c>
      <x:c r="E29" s="34" t="str">
        <x:v>발주계획·이력</x:v>
      </x:c>
      <x:c r="F29" s="34" t="str">
        <x:v>변동 원인 표준코드</x:v>
      </x:c>
      <x:c r="G29" s="34" t="str">
        <x:v>차이분석</x:v>
      </x:c>
      <x:c r="H29" s="34" t="str">
        <x:v>수급</x:v>
      </x:c>
      <x:c r="I29" s="34" t="str">
        <x:v>관리자</x:v>
      </x:c>
      <x:c r="J29" s="35" t="str">
        <x:v>차이 사유 필수</x:v>
      </x:c>
    </x:row>
    <x:row r="30">
      <x:c r="A30" s="41" t="str">
        <x:v>⑤</x:v>
      </x:c>
      <x:c r="B30" s="34" t="str">
        <x:v>보고자료 작성</x:v>
      </x:c>
      <x:c r="C30" s="34" t="str">
        <x:v>경영진 의사결정 지원</x:v>
      </x:c>
      <x:c r="D30" s="34" t="str">
        <x:v>요약·예외·위험·금액 자료 작성</x:v>
      </x:c>
      <x:c r="E30" s="34" t="str">
        <x:v>분석결과</x:v>
      </x:c>
      <x:c r="F30" s="34" t="str">
        <x:v>주요 의사결정사항 표시</x:v>
      </x:c>
      <x:c r="G30" s="34" t="str">
        <x:v>사장 보고자료</x:v>
      </x:c>
      <x:c r="H30" s="34" t="str">
        <x:v>수급</x:v>
      </x:c>
      <x:c r="I30" s="34" t="str">
        <x:v>부서장</x:v>
      </x:c>
      <x:c r="J30" s="35" t="str">
        <x:v>수치 일치 검증</x:v>
      </x:c>
    </x:row>
    <x:row r="31">
      <x:c r="A31" s="41" t="str">
        <x:v>⑤</x:v>
      </x:c>
      <x:c r="B31" s="34" t="str">
        <x:v>사장 보고 및 승인</x:v>
      </x:c>
      <x:c r="C31" s="34" t="str">
        <x:v>발주 실행 권한 획득</x:v>
      </x:c>
      <x:c r="D31" s="34" t="str">
        <x:v>보고·질의응답·승인</x:v>
      </x:c>
      <x:c r="E31" s="34" t="str">
        <x:v>보고자료</x:v>
      </x:c>
      <x:c r="F31" s="34" t="str">
        <x:v>승인/반려/수정</x:v>
      </x:c>
      <x:c r="G31" s="34" t="str">
        <x:v>승인 발주계획</x:v>
      </x:c>
      <x:c r="H31" s="34" t="str">
        <x:v>관리자</x:v>
      </x:c>
      <x:c r="I31" s="34" t="str">
        <x:v>사장</x:v>
      </x:c>
      <x:c r="J31" s="35" t="str">
        <x:v>승인 전 FX-LIVE 입력 차단</x:v>
      </x:c>
    </x:row>
    <x:row r="32">
      <x:c r="A32" s="41" t="str">
        <x:v>⑥</x:v>
      </x:c>
      <x:c r="B32" s="34" t="str">
        <x:v>FX-LIVE 입력</x:v>
      </x:c>
      <x:c r="C32" s="34" t="str">
        <x:v>승인량을 최종 FIX</x:v>
      </x:c>
      <x:c r="D32" s="34" t="str">
        <x:v>품목·수량·필요월도·Supplier 입력</x:v>
      </x:c>
      <x:c r="E32" s="34" t="str">
        <x:v>승인 발주량</x:v>
      </x:c>
      <x:c r="F32" s="34" t="str">
        <x:v>승인본과 동일해야 함</x:v>
      </x:c>
      <x:c r="G32" s="34" t="str">
        <x:v>FX-LIVE 제출량</x:v>
      </x:c>
      <x:c r="H32" s="34" t="str">
        <x:v>수급/구매</x:v>
      </x:c>
      <x:c r="I32" s="34" t="str">
        <x:v>시스템 담당</x:v>
      </x:c>
      <x:c r="J32" s="35" t="str">
        <x:v>입력자·일시 기록</x:v>
      </x:c>
    </x:row>
    <x:row r="33">
      <x:c r="A33" s="41" t="str">
        <x:v>⑥</x:v>
      </x:c>
      <x:c r="B33" s="34" t="str">
        <x:v>입력 결과 검증</x:v>
      </x:c>
      <x:c r="C33" s="34" t="str">
        <x:v>제출 오류 방지</x:v>
      </x:c>
      <x:c r="D33" s="34" t="str">
        <x:v>수량·금액·품목·Supplier·월도 대사</x:v>
      </x:c>
      <x:c r="E33" s="34" t="str">
        <x:v>승인본·FX-LIVE</x:v>
      </x:c>
      <x:c r="F33" s="34" t="str">
        <x:v>누락·중복·불일치 검증</x:v>
      </x:c>
      <x:c r="G33" s="34" t="str">
        <x:v>검증완료</x:v>
      </x:c>
      <x:c r="H33" s="34" t="str">
        <x:v>시스템 담당</x:v>
      </x:c>
      <x:c r="I33" s="34" t="str">
        <x:v>수급 담당</x:v>
      </x:c>
      <x:c r="J33" s="35" t="str">
        <x:v>오류 수정이력</x:v>
      </x:c>
    </x:row>
    <x:row r="34">
      <x:c r="A34" s="41" t="str">
        <x:v>⑦</x:v>
      </x:c>
      <x:c r="B34" s="34" t="str">
        <x:v>선적·입고 일정 확인</x:v>
      </x:c>
      <x:c r="C34" s="34" t="str">
        <x:v>발주 후 공급상태 추적</x:v>
      </x:c>
      <x:c r="D34" s="34" t="str">
        <x:v>Supplier별 현지 선적·입고예정 확인</x:v>
      </x:c>
      <x:c r="E34" s="34" t="str">
        <x:v>PO·선적정보</x:v>
      </x:c>
      <x:c r="F34" s="34" t="str">
        <x:v>납기 위험 경고</x:v>
      </x:c>
      <x:c r="G34" s="34" t="str">
        <x:v>입고 일정</x:v>
      </x:c>
      <x:c r="H34" s="34" t="str">
        <x:v>구매/물류</x:v>
      </x:c>
      <x:c r="I34" s="34" t="str">
        <x:v>수급 담당</x:v>
      </x:c>
      <x:c r="J34" s="35" t="str">
        <x:v>태풍·지진·전쟁 등 모니터링</x:v>
      </x:c>
    </x:row>
    <x:row r="35">
      <x:c r="A35" s="41" t="str">
        <x:v>⑦</x:v>
      </x:c>
      <x:c r="B35" s="34" t="str">
        <x:v>도착·통관 준비</x:v>
      </x:c>
      <x:c r="C35" s="34" t="str">
        <x:v>통관 지연 예방</x:v>
      </x:c>
      <x:c r="D35" s="34" t="str">
        <x:v>부산·인천항·인천공항 도착 및 서류 확인</x:v>
      </x:c>
      <x:c r="E35" s="34" t="str">
        <x:v>Invoice·PL·B/L·AWB</x:v>
      </x:c>
      <x:c r="F35" s="34" t="str">
        <x:v>서류 이상 사전조치</x:v>
      </x:c>
      <x:c r="G35" s="34" t="str">
        <x:v>통관 준비완료</x:v>
      </x:c>
      <x:c r="H35" s="34" t="str">
        <x:v>물류/통관</x:v>
      </x:c>
      <x:c r="I35" s="34" t="str">
        <x:v>구매 담당</x:v>
      </x:c>
      <x:c r="J35" s="35" t="str">
        <x:v>서류 누락·오류 관리</x:v>
      </x:c>
    </x:row>
    <x:row r="36">
      <x:c r="A36" s="41" t="str">
        <x:v>⑦</x:v>
      </x:c>
      <x:c r="B36" s="34" t="str">
        <x:v>통관·창고 입고</x:v>
      </x:c>
      <x:c r="C36" s="34" t="str">
        <x:v>실제 입고 완료</x:v>
      </x:c>
      <x:c r="D36" s="34" t="str">
        <x:v>통관 및 창고 반입 일정 관리</x:v>
      </x:c>
      <x:c r="E36" s="34" t="str">
        <x:v>통관정보·입고계획</x:v>
      </x:c>
      <x:c r="F36" s="34" t="str">
        <x:v>지연·보류 상태관리</x:v>
      </x:c>
      <x:c r="G36" s="34" t="str">
        <x:v>입고완료</x:v>
      </x:c>
      <x:c r="H36" s="34" t="str">
        <x:v>물류</x:v>
      </x:c>
      <x:c r="I36" s="34" t="str">
        <x:v>수급 담당</x:v>
      </x:c>
      <x:c r="J36" s="35" t="str">
        <x:v>지연일수 기록</x:v>
      </x:c>
    </x:row>
    <x:row r="37">
      <x:c r="A37" s="41" t="str">
        <x:v>⑦</x:v>
      </x:c>
      <x:c r="B37" s="34" t="str">
        <x:v>입고 검수</x:v>
      </x:c>
      <x:c r="C37" s="34" t="str">
        <x:v>수량·상태 확인</x:v>
      </x:c>
      <x:c r="D37" s="34" t="str">
        <x:v>수량·품목·파손·품질 검수</x:v>
      </x:c>
      <x:c r="E37" s="34" t="str">
        <x:v>입고품·Packing List</x:v>
      </x:c>
      <x:c r="F37" s="34" t="str">
        <x:v>부족·과입고·파손 구분</x:v>
      </x:c>
      <x:c r="G37" s="34" t="str">
        <x:v>검수결과</x:v>
      </x:c>
      <x:c r="H37" s="34" t="str">
        <x:v>물류/품질</x:v>
      </x:c>
      <x:c r="I37" s="34" t="str">
        <x:v>구매 담당</x:v>
      </x:c>
      <x:c r="J37" s="35" t="str">
        <x:v>이상건 클레임</x:v>
      </x:c>
    </x:row>
    <x:row r="38">
      <x:c r="A38" s="41" t="str">
        <x:v>⑦</x:v>
      </x:c>
      <x:c r="B38" s="34" t="str">
        <x:v>PO Match·지급</x:v>
      </x:c>
      <x:c r="C38" s="34" t="str">
        <x:v>정확한 지급 실행</x:v>
      </x:c>
      <x:c r="D38" s="34" t="str">
        <x:v>PO·입고·Invoice 대사 및 지급</x:v>
      </x:c>
      <x:c r="E38" s="34" t="str">
        <x:v>PO·입고·Invoice</x:v>
      </x:c>
      <x:c r="F38" s="34" t="str">
        <x:v>3-way match 완료</x:v>
      </x:c>
      <x:c r="G38" s="34" t="str">
        <x:v>지급처리</x:v>
      </x:c>
      <x:c r="H38" s="34" t="str">
        <x:v>재무/구매</x:v>
      </x:c>
      <x:c r="I38" s="34" t="str">
        <x:v>재무 관리자</x:v>
      </x:c>
      <x:c r="J38" s="35" t="str">
        <x:v>불일치 시 지급보류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0" hidden="0" customWidth="1"/>
    <x:col min="3" max="3" width="30" hidden="0" customWidth="1"/>
    <x:col min="4" max="4" width="44" hidden="0" customWidth="1"/>
    <x:col min="5" max="5" width="18" hidden="0" customWidth="1"/>
    <x:col min="6" max="6" width="16" hidden="0" customWidth="1"/>
  </x:cols>
  <x:sheetData>
    <x:row r="1" ht="30" customHeight="1">
      <x:c r="A1" s="4" t="str">
        <x:v>03. 발주량 계산 규칙 및 정책</x:v>
      </x:c>
      <x:c r="B1" s="4" t="str">
        <x:v>03. 발주량 계산 규칙 및 정책</x:v>
      </x:c>
      <x:c r="C1" s="4" t="str">
        <x:v>03. 발주량 계산 규칙 및 정책</x:v>
      </x:c>
      <x:c r="D1" s="4" t="str">
        <x:v>03. 발주량 계산 규칙 및 정책</x:v>
      </x:c>
      <x:c r="E1" s="4" t="str">
        <x:v>03. 발주량 계산 규칙 및 정책</x:v>
      </x:c>
      <x:c r="F1" s="4" t="str">
        <x:v>03. 발주량 계산 규칙 및 정책</x:v>
      </x:c>
    </x:row>
    <x:row r="2" ht="32" customHeight="1">
      <x:c r="A2" s="8" t="str">
        <x:v>실제 시스템 개발 시 해당 규칙을 업무 정책으로 확정하고, 품목·Supplier·필요월도별 예외를 마스터로 관리합니다.</x:v>
      </x:c>
      <x:c r="B2" s="8" t="str">
        <x:v>실제 시스템 개발 시 해당 규칙을 업무 정책으로 확정하고, 품목·Supplier·필요월도별 예외를 마스터로 관리합니다.</x:v>
      </x:c>
      <x:c r="C2" s="8" t="str">
        <x:v>실제 시스템 개발 시 해당 규칙을 업무 정책으로 확정하고, 품목·Supplier·필요월도별 예외를 마스터로 관리합니다.</x:v>
      </x:c>
      <x:c r="D2" s="8" t="str">
        <x:v>실제 시스템 개발 시 해당 규칙을 업무 정책으로 확정하고, 품목·Supplier·필요월도별 예외를 마스터로 관리합니다.</x:v>
      </x:c>
      <x:c r="E2" s="8" t="str">
        <x:v>실제 시스템 개발 시 해당 규칙을 업무 정책으로 확정하고, 품목·Supplier·필요월도별 예외를 마스터로 관리합니다.</x:v>
      </x:c>
      <x:c r="F2" s="8" t="str">
        <x:v>실제 시스템 개발 시 해당 규칙을 업무 정책으로 확정하고, 품목·Supplier·필요월도별 예외를 마스터로 관리합니다.</x:v>
      </x:c>
    </x:row>
    <x:row r="4" ht="28" customHeight="1">
      <x:c r="A4" s="17" t="str">
        <x:v>구분</x:v>
      </x:c>
      <x:c r="B4" s="17" t="str">
        <x:v>규칙명</x:v>
      </x:c>
      <x:c r="C4" s="17" t="str">
        <x:v>계산/판정식</x:v>
      </x:c>
      <x:c r="D4" s="17" t="str">
        <x:v>적용 대상</x:v>
      </x:c>
      <x:c r="E4" s="17" t="str">
        <x:v>예시/해석</x:v>
      </x:c>
      <x:c r="F4" s="17" t="str">
        <x:v>예외 처리</x:v>
      </x:c>
    </x:row>
    <x:row r="5">
      <x:c r="A5" s="30" t="str">
        <x:v>수요</x:v>
      </x:c>
      <x:c r="B5" s="31" t="str">
        <x:v>확정 수요</x:v>
      </x:c>
      <x:c r="C5" s="42" t="str">
        <x:v>수급회의에서 확정된 수량을 발주 기준으로 사용</x:v>
      </x:c>
      <x:c r="D5" s="31" t="str">
        <x:v>기기·옵션·부품</x:v>
      </x:c>
      <x:c r="E5" s="31" t="str">
        <x:v>확정/조건부/참고/제외 상태 관리</x:v>
      </x:c>
      <x:c r="F5" s="32" t="str">
        <x:v>조건부 수요는 반영률 또는 승인 필요</x:v>
      </x:c>
    </x:row>
    <x:row r="6">
      <x:c r="A6" s="33" t="str">
        <x:v>기기</x:v>
      </x:c>
      <x:c r="B6" s="34" t="str">
        <x:v>순소요량</x:v>
      </x:c>
      <x:c r="C6" s="43" t="str">
        <x:v>확정수요 + 목표기말재고 - 가용전월재고 - 필요월도 전 Open PO</x:v>
      </x:c>
      <x:c r="D6" s="34" t="str">
        <x:v>기기</x:v>
      </x:c>
      <x:c r="E6" s="34" t="str">
        <x:v>음수는 0으로 처리</x:v>
      </x:c>
      <x:c r="F6" s="35" t="str">
        <x:v>대체기종·단종 별도 검토</x:v>
      </x:c>
    </x:row>
    <x:row r="7">
      <x:c r="A7" s="33" t="str">
        <x:v>공급</x:v>
      </x:c>
      <x:c r="B7" s="34" t="str">
        <x:v>가용 Open PO</x:v>
      </x:c>
      <x:c r="C7" s="43" t="str">
        <x:v>필요월도 이전 입고 가능 상태의 Open PO만 반영</x:v>
      </x:c>
      <x:c r="D7" s="34" t="str">
        <x:v>기기·옵션</x:v>
      </x:c>
      <x:c r="E7" s="34" t="str">
        <x:v>납기 미확정은 위험물량으로 별도 표시</x:v>
      </x:c>
      <x:c r="F7" s="35" t="str">
        <x:v>납기 재확인</x:v>
      </x:c>
    </x:row>
    <x:row r="8">
      <x:c r="A8" s="33" t="str">
        <x:v>Lead Time</x:v>
      </x:c>
      <x:c r="B8" s="34" t="str">
        <x:v>입고 가능성</x:v>
      </x:c>
      <x:c r="C8" s="43" t="str">
        <x:v>발주일 + Supplier LT + 운송·통관기간 ≤ 필요월도</x:v>
      </x:c>
      <x:c r="D8" s="34" t="str">
        <x:v>Supplier별</x:v>
      </x:c>
      <x:c r="E8" s="34" t="str">
        <x:v>상해·심천·홍콩·베트남·도쿄·요코하마·나고야·네덜란드</x:v>
      </x:c>
      <x:c r="F8" s="35" t="str">
        <x:v>긴급운송·대체품 검토</x:v>
      </x:c>
    </x:row>
    <x:row r="9">
      <x:c r="A9" s="33" t="str">
        <x:v>Flex</x:v>
      </x:c>
      <x:c r="B9" s="34" t="str">
        <x:v>전월 OL 대비</x:v>
      </x:c>
      <x:c r="C9" s="43" t="str">
        <x:v>(당월 발주량-전월 OL)/전월 OL</x:v>
      </x:c>
      <x:c r="D9" s="34" t="str">
        <x:v>Supplier 제출 OL 기준</x:v>
      </x:c>
      <x:c r="E9" s="34" t="str">
        <x:v>허용범위 ±20%</x:v>
      </x:c>
      <x:c r="F9" s="35" t="str">
        <x:v>초과 시 예외사유·승인</x:v>
      </x:c>
    </x:row>
    <x:row r="10">
      <x:c r="A10" s="33" t="str">
        <x:v>Flex</x:v>
      </x:c>
      <x:c r="B10" s="34" t="str">
        <x:v>전전월 OL 대비</x:v>
      </x:c>
      <x:c r="C10" s="43" t="str">
        <x:v>(당월 발주량-전전월 OL)/전전월 OL</x:v>
      </x:c>
      <x:c r="D10" s="34" t="str">
        <x:v>Supplier 제출 OL 기준</x:v>
      </x:c>
      <x:c r="E10" s="34" t="str">
        <x:v>허용범위 ±30%</x:v>
      </x:c>
      <x:c r="F10" s="35" t="str">
        <x:v>누적/독립 적용기준 확정 필요</x:v>
      </x:c>
    </x:row>
    <x:row r="11">
      <x:c r="A11" s="33" t="str">
        <x:v>PRT</x:v>
      </x:c>
      <x:c r="B11" s="34" t="str">
        <x:v>PRT MOQ</x:v>
      </x:c>
      <x:c r="C11" s="43" t="str">
        <x:v>CEILING(기기 순소요량/MOQ,1)×MOQ</x:v>
      </x:c>
      <x:c r="D11" s="34" t="str">
        <x:v>A3/A4 Printer</x:v>
      </x:c>
      <x:c r="E11" s="34" t="str">
        <x:v>MOQ로 증가한 잉여수량 별도 표시</x:v>
      </x:c>
      <x:c r="F11" s="35" t="str">
        <x:v>잉여재고 승인</x:v>
      </x:c>
    </x:row>
    <x:row r="12">
      <x:c r="A12" s="33" t="str">
        <x:v>옵션</x:v>
      </x:c>
      <x:c r="B12" s="34" t="str">
        <x:v>장착 기반 수요</x:v>
      </x:c>
      <x:c r="C12" s="43" t="str">
        <x:v>기기 수요 × 장착율 × BOM 수량</x:v>
      </x:c>
      <x:c r="D12" s="34" t="str">
        <x:v>선택 옵션</x:v>
      </x:c>
      <x:c r="E12" s="34" t="str">
        <x:v>기종·채널별 장착율 적용</x:v>
      </x:c>
      <x:c r="F12" s="35" t="str">
        <x:v>장착율 기준기간 기록</x:v>
      </x:c>
    </x:row>
    <x:row r="13">
      <x:c r="A13" s="33" t="str">
        <x:v>옵션</x:v>
      </x:c>
      <x:c r="B13" s="34" t="str">
        <x:v>필수 옵션 수요</x:v>
      </x:c>
      <x:c r="C13" s="43" t="str">
        <x:v>기기/옵션 출하수량 × 필수 BOM 수량</x:v>
      </x:c>
      <x:c r="D13" s="34" t="str">
        <x:v>옵션 필수품</x:v>
      </x:c>
      <x:c r="E13" s="34" t="str">
        <x:v>장착율과 별도 처리 가능</x:v>
      </x:c>
      <x:c r="F13" s="35" t="str">
        <x:v>BOM 누락 차단</x:v>
      </x:c>
    </x:row>
    <x:row r="14">
      <x:c r="A14" s="33" t="str">
        <x:v>옵션</x:v>
      </x:c>
      <x:c r="B14" s="34" t="str">
        <x:v>평균 사용량</x:v>
      </x:c>
      <x:c r="C14" s="43" t="str">
        <x:v>최근 3/6/12개월 사용량 합계 ÷ 기간개월</x:v>
      </x:c>
      <x:c r="D14" s="34" t="str">
        <x:v>소모품·부품</x:v>
      </x:c>
      <x:c r="E14" s="34" t="str">
        <x:v>품목별 기준기간 설정</x:v>
      </x:c>
      <x:c r="F14" s="35" t="str">
        <x:v>이상치·단종품 제외</x:v>
      </x:c>
    </x:row>
    <x:row r="15">
      <x:c r="A15" s="33" t="str">
        <x:v>옵션</x:v>
      </x:c>
      <x:c r="B15" s="34" t="str">
        <x:v>Common품 합산</x:v>
      </x:c>
      <x:c r="C15" s="43" t="str">
        <x:v>Σ(기종별 수요 × 장착율 × BOM 수량)</x:v>
      </x:c>
      <x:c r="D15" s="34" t="str">
        <x:v>복수기종 공용품</x:v>
      </x:c>
      <x:c r="E15" s="34" t="str">
        <x:v>품목코드 기준 통합 발주</x:v>
      </x:c>
      <x:c r="F15" s="35" t="str">
        <x:v>중복발주 검증</x:v>
      </x:c>
    </x:row>
    <x:row r="16">
      <x:c r="A16" s="33" t="str">
        <x:v>옵션</x:v>
      </x:c>
      <x:c r="B16" s="34" t="str">
        <x:v>순발주량</x:v>
      </x:c>
      <x:c r="C16" s="43" t="str">
        <x:v>총소요량 + 목표기말재고 - 가용재고 - 가용 Open PO</x:v>
      </x:c>
      <x:c r="D16" s="34" t="str">
        <x:v>옵션·부품·소모품</x:v>
      </x:c>
      <x:c r="E16" s="34" t="str">
        <x:v>필요월도별 계산</x:v>
      </x:c>
      <x:c r="F16" s="35" t="str">
        <x:v>음수는 0 처리</x:v>
      </x:c>
    </x:row>
    <x:row r="17">
      <x:c r="A17" s="33" t="str">
        <x:v>옵션</x:v>
      </x:c>
      <x:c r="B17" s="34" t="str">
        <x:v>MOQ</x:v>
      </x:c>
      <x:c r="C17" s="43" t="str">
        <x:v>CEILING(옵션 순발주량/MOQ,1)×MOQ</x:v>
      </x:c>
      <x:c r="D17" s="34" t="str">
        <x:v>옵션별</x:v>
      </x:c>
      <x:c r="E17" s="34" t="str">
        <x:v>MOQ 초과분과 잉여금액 표시</x:v>
      </x:c>
      <x:c r="F17" s="35" t="str">
        <x:v>예외승인</x:v>
      </x:c>
    </x:row>
    <x:row r="18">
      <x:c r="A18" s="33" t="str">
        <x:v>금액</x:v>
      </x:c>
      <x:c r="B18" s="34" t="str">
        <x:v>총 발주금액</x:v>
      </x:c>
      <x:c r="C18" s="43" t="str">
        <x:v>Σ(최종 발주수량 × 단가)</x:v>
      </x:c>
      <x:c r="D18" s="34" t="str">
        <x:v>전체</x:v>
      </x:c>
      <x:c r="E18" s="34" t="str">
        <x:v>기기·옵션·Supplier·통화별 집계</x:v>
      </x:c>
      <x:c r="F18" s="35" t="str">
        <x:v>단가·통화 검증</x:v>
      </x:c>
    </x:row>
    <x:row r="19">
      <x:c r="A19" s="33"/>
      <x:c r="B19" s="34"/>
      <x:c r="C19" s="43"/>
      <x:c r="D19" s="34"/>
      <x:c r="E19" s="34"/>
      <x:c r="F19" s="35"/>
    </x:row>
    <x:row r="21" ht="22" customHeight="1">
      <x:c r="A21" s="11" t="str">
        <x:v>정책 확정이 필요한 항목</x:v>
      </x:c>
      <x:c r="B21" s="11" t="str">
        <x:v>정책 확정이 필요한 항목</x:v>
      </x:c>
      <x:c r="C21" s="11" t="str">
        <x:v>정책 확정이 필요한 항목</x:v>
      </x:c>
      <x:c r="D21" s="11" t="str">
        <x:v>정책 확정이 필요한 항목</x:v>
      </x:c>
      <x:c r="E21" s="11" t="str">
        <x:v>정책 확정이 필요한 항목</x:v>
      </x:c>
      <x:c r="F21" s="11" t="str">
        <x:v>정책 확정이 필요한 항목</x:v>
      </x:c>
    </x:row>
    <x:row r="22" ht="28" customHeight="1">
      <x:c r="A22" s="17" t="str">
        <x:v>No.</x:v>
      </x:c>
      <x:c r="B22" s="17" t="str">
        <x:v>정책 질문</x:v>
      </x:c>
      <x:c r="C22" s="17" t="str">
        <x:v>현재 이해</x:v>
      </x:c>
      <x:c r="D22" s="17" t="str">
        <x:v>확정 필요사항</x:v>
      </x:c>
      <x:c r="E22" s="17" t="str">
        <x:v>담당</x:v>
      </x:c>
      <x:c r="F22" s="17" t="str">
        <x:v>상태</x:v>
      </x:c>
    </x:row>
    <x:row r="23">
      <x:c r="A23" s="30" t="n">
        <x:v>1</x:v>
      </x:c>
      <x:c r="B23" s="31" t="str">
        <x:v>Flexibility Rule은 전월·전전월 기준을 각각 독립 적용하는가?</x:v>
      </x:c>
      <x:c r="C23" s="31" t="str">
        <x:v>전월 ±20%, 전전월 ±30%</x:v>
      </x:c>
      <x:c r="D23" s="31" t="str">
        <x:v>계산 기준월과 누적 여부 확정</x:v>
      </x:c>
      <x:c r="E23" s="31" t="str">
        <x:v>수급/구매</x:v>
      </x:c>
      <x:c r="F23" s="32" t="str">
        <x:v>확정 필요</x:v>
      </x:c>
    </x:row>
    <x:row r="24">
      <x:c r="A24" s="33" t="n">
        <x:v>2</x:v>
      </x:c>
      <x:c r="B24" s="34" t="str">
        <x:v>조건부 수요의 발주 반영률은?</x:v>
      </x:c>
      <x:c r="C24" s="34" t="str">
        <x:v>수급회의 결정</x:v>
      </x:c>
      <x:c r="D24" s="34" t="str">
        <x:v>100%·일부 반영·미반영 중 선택</x:v>
      </x:c>
      <x:c r="E24" s="34" t="str">
        <x:v>수급/영업</x:v>
      </x:c>
      <x:c r="F24" s="35" t="str">
        <x:v>확정 필요</x:v>
      </x:c>
    </x:row>
    <x:row r="25">
      <x:c r="A25" s="33" t="n">
        <x:v>3</x:v>
      </x:c>
      <x:c r="B25" s="34" t="str">
        <x:v>Open PO를 가용재고로 인정하는 상태는?</x:v>
      </x:c>
      <x:c r="C25" s="34" t="str">
        <x:v>필요월도 전 실제 입고 가능분</x:v>
      </x:c>
      <x:c r="D25" s="34" t="str">
        <x:v>상태코드별 반영기준 확정</x:v>
      </x:c>
      <x:c r="E25" s="34" t="str">
        <x:v>구매/물류</x:v>
      </x:c>
      <x:c r="F25" s="35" t="str">
        <x:v>확정 필요</x:v>
      </x:c>
    </x:row>
    <x:row r="26">
      <x:c r="A26" s="33" t="n">
        <x:v>4</x:v>
      </x:c>
      <x:c r="B26" s="34" t="str">
        <x:v>평균 사용량 기준기간은 품목별로 관리하는가?</x:v>
      </x:c>
      <x:c r="C26" s="34" t="str">
        <x:v>3/6/12개월</x:v>
      </x:c>
      <x:c r="D26" s="34" t="str">
        <x:v>품목별 기본기간과 변경권한 확정</x:v>
      </x:c>
      <x:c r="E26" s="34" t="str">
        <x:v>수급/구매</x:v>
      </x:c>
      <x:c r="F26" s="35" t="str">
        <x:v>확정 필요</x:v>
      </x:c>
    </x:row>
    <x:row r="27">
      <x:c r="A27" s="33" t="n">
        <x:v>5</x:v>
      </x:c>
      <x:c r="B27" s="34" t="str">
        <x:v>MOQ로 발생한 초과량의 승인 기준은?</x:v>
      </x:c>
      <x:c r="C27" s="34" t="str">
        <x:v>예외 표시</x:v>
      </x:c>
      <x:c r="D27" s="34" t="str">
        <x:v>금액·수량 threshold 확정</x:v>
      </x:c>
      <x:c r="E27" s="34" t="str">
        <x:v>구매/관리자</x:v>
      </x:c>
      <x:c r="F27" s="35" t="str">
        <x:v>확정 필요</x:v>
      </x:c>
    </x:row>
    <x:row r="28">
      <x:c r="A28" s="33" t="n">
        <x:v>6</x:v>
      </x:c>
      <x:c r="B28" s="34" t="str">
        <x:v>입고·통관·지급 데이터는 기존 시스템과 연계하는가?</x:v>
      </x:c>
      <x:c r="C28" s="34" t="str">
        <x:v>FX-LIVE 최종 FIX</x:v>
      </x:c>
      <x:c r="D28" s="34" t="str">
        <x:v>ERP·물류·재무 연계범위 확정</x:v>
      </x:c>
      <x:c r="E28" s="34" t="str">
        <x:v>IT/재무</x:v>
      </x:c>
      <x:c r="F28" s="35" t="str">
        <x:v>확정 필요</x:v>
      </x:c>
    </x:row>
  </x:sheetData>
  <x:mergeCells>
    <x:mergeCell ref="A1:F1"/>
    <x:mergeCell ref="A2:F2"/>
    <x:mergeCell ref="A21:F2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42" hidden="0" customWidth="1"/>
    <x:col min="4" max="4" width="10" hidden="0" customWidth="1"/>
    <x:col min="5" max="5" width="18" hidden="0" customWidth="1"/>
    <x:col min="6" max="6" width="30" hidden="0" customWidth="1"/>
    <x:col min="7" max="7" width="22" hidden="0" customWidth="1"/>
    <x:col min="8" max="8" width="18" hidden="0" customWidth="1"/>
    <x:col min="9" max="9" width="36" hidden="0" customWidth="1"/>
  </x:cols>
  <x:sheetData>
    <x:row r="1" ht="30" customHeight="1">
      <x:c r="A1" s="4" t="str">
        <x:v>04. 데이터 정의서</x:v>
      </x:c>
      <x:c r="B1" s="4" t="str">
        <x:v>04. 데이터 정의서</x:v>
      </x:c>
      <x:c r="C1" s="4" t="str">
        <x:v>04. 데이터 정의서</x:v>
      </x:c>
      <x:c r="D1" s="4" t="str">
        <x:v>04. 데이터 정의서</x:v>
      </x:c>
      <x:c r="E1" s="4" t="str">
        <x:v>04. 데이터 정의서</x:v>
      </x:c>
      <x:c r="F1" s="4" t="str">
        <x:v>04. 데이터 정의서</x:v>
      </x:c>
      <x:c r="G1" s="4" t="str">
        <x:v>04. 데이터 정의서</x:v>
      </x:c>
      <x:c r="H1" s="4" t="str">
        <x:v>04. 데이터 정의서</x:v>
      </x:c>
      <x:c r="I1" s="4" t="str">
        <x:v>04. 데이터 정의서</x:v>
      </x:c>
    </x:row>
    <x:row r="2" ht="32" customHeight="1">
      <x:c r="A2" s="8" t="str">
        <x:v>시스템 화면·테이블·인터페이스 설계 시 사용할 수 있도록 데이터의 의미, 형식, 소유자, 검증기준을 정의합니다.</x:v>
      </x:c>
      <x:c r="B2" s="8" t="str">
        <x:v>시스템 화면·테이블·인터페이스 설계 시 사용할 수 있도록 데이터의 의미, 형식, 소유자, 검증기준을 정의합니다.</x:v>
      </x:c>
      <x:c r="C2" s="8" t="str">
        <x:v>시스템 화면·테이블·인터페이스 설계 시 사용할 수 있도록 데이터의 의미, 형식, 소유자, 검증기준을 정의합니다.</x:v>
      </x:c>
      <x:c r="D2" s="8" t="str">
        <x:v>시스템 화면·테이블·인터페이스 설계 시 사용할 수 있도록 데이터의 의미, 형식, 소유자, 검증기준을 정의합니다.</x:v>
      </x:c>
      <x:c r="E2" s="8" t="str">
        <x:v>시스템 화면·테이블·인터페이스 설계 시 사용할 수 있도록 데이터의 의미, 형식, 소유자, 검증기준을 정의합니다.</x:v>
      </x:c>
      <x:c r="F2" s="8" t="str">
        <x:v>시스템 화면·테이블·인터페이스 설계 시 사용할 수 있도록 데이터의 의미, 형식, 소유자, 검증기준을 정의합니다.</x:v>
      </x:c>
      <x:c r="G2" s="8" t="str">
        <x:v>시스템 화면·테이블·인터페이스 설계 시 사용할 수 있도록 데이터의 의미, 형식, 소유자, 검증기준을 정의합니다.</x:v>
      </x:c>
      <x:c r="H2" s="8" t="str">
        <x:v>시스템 화면·테이블·인터페이스 설계 시 사용할 수 있도록 데이터의 의미, 형식, 소유자, 검증기준을 정의합니다.</x:v>
      </x:c>
      <x:c r="I2" s="8" t="str">
        <x:v>시스템 화면·테이블·인터페이스 설계 시 사용할 수 있도록 데이터의 의미, 형식, 소유자, 검증기준을 정의합니다.</x:v>
      </x:c>
    </x:row>
    <x:row r="4" ht="28" customHeight="1">
      <x:c r="A4" s="17" t="str">
        <x:v>분류</x:v>
      </x:c>
      <x:c r="B4" s="17" t="str">
        <x:v>데이터 항목</x:v>
      </x:c>
      <x:c r="C4" s="17" t="str">
        <x:v>정의</x:v>
      </x:c>
      <x:c r="D4" s="17" t="str">
        <x:v>필수</x:v>
      </x:c>
      <x:c r="E4" s="17" t="str">
        <x:v>형식/단위</x:v>
      </x:c>
      <x:c r="F4" s="17" t="str">
        <x:v>주요 값·예시</x:v>
      </x:c>
      <x:c r="G4" s="17" t="str">
        <x:v>원천 시스템</x:v>
      </x:c>
      <x:c r="H4" s="17" t="str">
        <x:v>데이터 오너</x:v>
      </x:c>
      <x:c r="I4" s="17" t="str">
        <x:v>검증 기준</x:v>
      </x:c>
    </x:row>
    <x:row r="5">
      <x:c r="A5" s="30" t="str">
        <x:v>수요</x:v>
      </x:c>
      <x:c r="B5" s="31" t="str">
        <x:v>OL 수량</x:v>
      </x:c>
      <x:c r="C5" s="31" t="str">
        <x:v>영업부서가 제출한 필요월도별 출고 Outlook</x:v>
      </x:c>
      <x:c r="D5" s="31" t="str">
        <x:v>Y</x:v>
      </x:c>
      <x:c r="E5" s="31" t="str">
        <x:v>정수/대</x:v>
      </x:c>
      <x:c r="F5" s="31" t="str">
        <x:v>기종별 수량</x:v>
      </x:c>
      <x:c r="G5" s="31" t="str">
        <x:v>OL/파일</x:v>
      </x:c>
      <x:c r="H5" s="31" t="str">
        <x:v>영업</x:v>
      </x:c>
      <x:c r="I5" s="32" t="str">
        <x:v>품목코드·월도·중복 검증</x:v>
      </x:c>
    </x:row>
    <x:row r="6">
      <x:c r="A6" s="33" t="str">
        <x:v>수요</x:v>
      </x:c>
      <x:c r="B6" s="34" t="str">
        <x:v>SFDC 파이프라인</x:v>
      </x:c>
      <x:c r="C6" s="34" t="str">
        <x:v>영업 중요 Deal의 예상 수요</x:v>
      </x:c>
      <x:c r="D6" s="34" t="str">
        <x:v>N</x:v>
      </x:c>
      <x:c r="E6" s="34" t="str">
        <x:v>정수/대</x:v>
      </x:c>
      <x:c r="F6" s="34" t="str">
        <x:v>Deal·확률·예상월도</x:v>
      </x:c>
      <x:c r="G6" s="34" t="str">
        <x:v>SFDC</x:v>
      </x:c>
      <x:c r="H6" s="34" t="str">
        <x:v>영업</x:v>
      </x:c>
      <x:c r="I6" s="35" t="str">
        <x:v>수주 가능성 입력</x:v>
      </x:c>
    </x:row>
    <x:row r="7">
      <x:c r="A7" s="33" t="str">
        <x:v>수요</x:v>
      </x:c>
      <x:c r="B7" s="34" t="str">
        <x:v>Bulk-deal</x:v>
      </x:c>
      <x:c r="C7" s="34" t="str">
        <x:v>OL 외 대형 거래 수요</x:v>
      </x:c>
      <x:c r="D7" s="34" t="str">
        <x:v>N</x:v>
      </x:c>
      <x:c r="E7" s="34" t="str">
        <x:v>정수/대</x:v>
      </x:c>
      <x:c r="F7" s="34" t="str">
        <x:v>고객·기종·수량</x:v>
      </x:c>
      <x:c r="G7" s="34" t="str">
        <x:v>영업/SFDC</x:v>
      </x:c>
      <x:c r="H7" s="34" t="str">
        <x:v>영업</x:v>
      </x:c>
      <x:c r="I7" s="35" t="str">
        <x:v>선확보 여부 필수</x:v>
      </x:c>
    </x:row>
    <x:row r="8">
      <x:c r="A8" s="33" t="str">
        <x:v>수요</x:v>
      </x:c>
      <x:c r="B8" s="34" t="str">
        <x:v>수요 상태</x:v>
      </x:c>
      <x:c r="C8" s="34" t="str">
        <x:v>확정/조건부/참고/제외 상태</x:v>
      </x:c>
      <x:c r="D8" s="34" t="str">
        <x:v>Y</x:v>
      </x:c>
      <x:c r="E8" s="34" t="str">
        <x:v>코드</x:v>
      </x:c>
      <x:c r="F8" s="34" t="str">
        <x:v>Confirmed 등</x:v>
      </x:c>
      <x:c r="G8" s="34" t="str">
        <x:v>수급관리</x:v>
      </x:c>
      <x:c r="H8" s="34" t="str">
        <x:v>수급</x:v>
      </x:c>
      <x:c r="I8" s="35" t="str">
        <x:v>허용값 검증</x:v>
      </x:c>
    </x:row>
    <x:row r="9">
      <x:c r="A9" s="33" t="str">
        <x:v>실적</x:v>
      </x:c>
      <x:c r="B9" s="34" t="str">
        <x:v>월별 출고 실적</x:v>
      </x:c>
      <x:c r="C9" s="34" t="str">
        <x:v>과거 월도별 실제 출고수량</x:v>
      </x:c>
      <x:c r="D9" s="34" t="str">
        <x:v>Y</x:v>
      </x:c>
      <x:c r="E9" s="34" t="str">
        <x:v>정수/대</x:v>
      </x:c>
      <x:c r="F9" s="34" t="str">
        <x:v>월·기종·수량</x:v>
      </x:c>
      <x:c r="G9" s="34" t="str">
        <x:v>ERP/물류</x:v>
      </x:c>
      <x:c r="H9" s="34" t="str">
        <x:v>물류</x:v>
      </x:c>
      <x:c r="I9" s="35" t="str">
        <x:v>중복·누락 검증</x:v>
      </x:c>
    </x:row>
    <x:row r="10">
      <x:c r="A10" s="33" t="str">
        <x:v>재고</x:v>
      </x:c>
      <x:c r="B10" s="34" t="str">
        <x:v>전월말 가용재고</x:v>
      </x:c>
      <x:c r="C10" s="34" t="str">
        <x:v>전월 말 기준 실제 사용 가능한 재고</x:v>
      </x:c>
      <x:c r="D10" s="34" t="str">
        <x:v>Y</x:v>
      </x:c>
      <x:c r="E10" s="34" t="str">
        <x:v>정수/대</x:v>
      </x:c>
      <x:c r="F10" s="34" t="str">
        <x:v>기기·옵션·부품</x:v>
      </x:c>
      <x:c r="G10" s="34" t="str">
        <x:v>재고/ERP</x:v>
      </x:c>
      <x:c r="H10" s="34" t="str">
        <x:v>물류</x:v>
      </x:c>
      <x:c r="I10" s="35" t="str">
        <x:v>보류·불용 제외</x:v>
      </x:c>
    </x:row>
    <x:row r="11">
      <x:c r="A11" s="33" t="str">
        <x:v>구매</x:v>
      </x:c>
      <x:c r="B11" s="34" t="str">
        <x:v>Open PO</x:v>
      </x:c>
      <x:c r="C11" s="34" t="str">
        <x:v>발주 후 미입고 잔량 및 상태</x:v>
      </x:c>
      <x:c r="D11" s="34" t="str">
        <x:v>Y</x:v>
      </x:c>
      <x:c r="E11" s="34" t="str">
        <x:v>정수/대</x:v>
      </x:c>
      <x:c r="F11" s="34" t="str">
        <x:v>PO·잔량·예정일</x:v>
      </x:c>
      <x:c r="G11" s="34" t="str">
        <x:v>구매/ERP</x:v>
      </x:c>
      <x:c r="H11" s="34" t="str">
        <x:v>구매</x:v>
      </x:c>
      <x:c r="I11" s="35" t="str">
        <x:v>필요월도 전 입고 가능 여부</x:v>
      </x:c>
    </x:row>
    <x:row r="12">
      <x:c r="A12" s="33" t="str">
        <x:v>마스터</x:v>
      </x:c>
      <x:c r="B12" s="34" t="str">
        <x:v>품목코드</x:v>
      </x:c>
      <x:c r="C12" s="34" t="str">
        <x:v>기기·옵션·부품·소모품 식별코드</x:v>
      </x:c>
      <x:c r="D12" s="34" t="str">
        <x:v>Y</x:v>
      </x:c>
      <x:c r="E12" s="34" t="str">
        <x:v>문자</x:v>
      </x:c>
      <x:c r="F12" s="34" t="str">
        <x:v>SKU/Item ID</x:v>
      </x:c>
      <x:c r="G12" s="34" t="str">
        <x:v>ERP</x:v>
      </x:c>
      <x:c r="H12" s="34" t="str">
        <x:v>마스터 담당</x:v>
      </x:c>
      <x:c r="I12" s="35" t="str">
        <x:v>중복·사용상태</x:v>
      </x:c>
    </x:row>
    <x:row r="13">
      <x:c r="A13" s="33" t="str">
        <x:v>마스터</x:v>
      </x:c>
      <x:c r="B13" s="34" t="str">
        <x:v>BOM</x:v>
      </x:c>
      <x:c r="C13" s="34" t="str">
        <x:v>기종별 구성 자재 명세</x:v>
      </x:c>
      <x:c r="D13" s="34" t="str">
        <x:v>Y</x:v>
      </x:c>
      <x:c r="E13" s="34" t="str">
        <x:v>정수/대</x:v>
      </x:c>
      <x:c r="F13" s="34" t="str">
        <x:v>기종·옵션·수량</x:v>
      </x:c>
      <x:c r="G13" s="34" t="str">
        <x:v>BOM 관리</x:v>
      </x:c>
      <x:c r="H13" s="34" t="str">
        <x:v>마스터 담당</x:v>
      </x:c>
      <x:c r="I13" s="35" t="str">
        <x:v>유효기간·누락 검증</x:v>
      </x:c>
    </x:row>
    <x:row r="14">
      <x:c r="A14" s="33" t="str">
        <x:v>마스터</x:v>
      </x:c>
      <x:c r="B14" s="34" t="str">
        <x:v>장착율</x:v>
      </x:c>
      <x:c r="C14" s="34" t="str">
        <x:v>기기 판매 시 옵션 동반 출고 비율</x:v>
      </x:c>
      <x:c r="D14" s="34" t="str">
        <x:v>N</x:v>
      </x:c>
      <x:c r="E14" s="34" t="str">
        <x:v>비율</x:v>
      </x:c>
      <x:c r="F14" s="34" t="str">
        <x:v>0~100%</x:v>
      </x:c>
      <x:c r="G14" s="34" t="str">
        <x:v>수급/실적</x:v>
      </x:c>
      <x:c r="H14" s="34" t="str">
        <x:v>수급</x:v>
      </x:c>
      <x:c r="I14" s="35" t="str">
        <x:v>범위·기준기간 검증</x:v>
      </x:c>
    </x:row>
    <x:row r="15">
      <x:c r="A15" s="33" t="str">
        <x:v>마스터</x:v>
      </x:c>
      <x:c r="B15" s="34" t="str">
        <x:v>평균 사용량</x:v>
      </x:c>
      <x:c r="C15" s="34" t="str">
        <x:v>3/6/12개월 평균 사용량</x:v>
      </x:c>
      <x:c r="D15" s="34" t="str">
        <x:v>N</x:v>
      </x:c>
      <x:c r="E15" s="34" t="str">
        <x:v>정수/월</x:v>
      </x:c>
      <x:c r="F15" s="34" t="str">
        <x:v>품목별 평균</x:v>
      </x:c>
      <x:c r="G15" s="34" t="str">
        <x:v>실적/수급</x:v>
      </x:c>
      <x:c r="H15" s="34" t="str">
        <x:v>수급</x:v>
      </x:c>
      <x:c r="I15" s="35" t="str">
        <x:v>기간·이상치 검증</x:v>
      </x:c>
    </x:row>
    <x:row r="16">
      <x:c r="A16" s="33" t="str">
        <x:v>마스터</x:v>
      </x:c>
      <x:c r="B16" s="34" t="str">
        <x:v>MOQ</x:v>
      </x:c>
      <x:c r="C16" s="34" t="str">
        <x:v>최소 발주 수량 단위</x:v>
      </x:c>
      <x:c r="D16" s="34" t="str">
        <x:v>Y</x:v>
      </x:c>
      <x:c r="E16" s="34" t="str">
        <x:v>정수/대</x:v>
      </x:c>
      <x:c r="F16" s="34" t="str">
        <x:v>품목별 MOQ</x:v>
      </x:c>
      <x:c r="G16" s="34" t="str">
        <x:v>구매</x:v>
      </x:c>
      <x:c r="H16" s="34" t="str">
        <x:v>구매</x:v>
      </x:c>
      <x:c r="I16" s="35" t="str">
        <x:v>0 초과·정수</x:v>
      </x:c>
    </x:row>
    <x:row r="17">
      <x:c r="A17" s="33" t="str">
        <x:v>마스터</x:v>
      </x:c>
      <x:c r="B17" s="34" t="str">
        <x:v>Lead Time</x:v>
      </x:c>
      <x:c r="C17" s="34" t="str">
        <x:v>Supplier별 공급 소요일</x:v>
      </x:c>
      <x:c r="D17" s="34" t="str">
        <x:v>Y</x:v>
      </x:c>
      <x:c r="E17" s="34" t="str">
        <x:v>일수</x:v>
      </x:c>
      <x:c r="F17" s="34" t="str">
        <x:v>상해·심천 등</x:v>
      </x:c>
      <x:c r="G17" s="34" t="str">
        <x:v>구매</x:v>
      </x:c>
      <x:c r="H17" s="34" t="str">
        <x:v>구매</x:v>
      </x:c>
      <x:c r="I17" s="35" t="str">
        <x:v>0 이상·유효기간</x:v>
      </x:c>
    </x:row>
    <x:row r="18">
      <x:c r="A18" s="33" t="str">
        <x:v>마스터</x:v>
      </x:c>
      <x:c r="B18" s="34" t="str">
        <x:v>Flex Rule</x:v>
      </x:c>
      <x:c r="C18" s="34" t="str">
        <x:v>OL 대비 발주 변경 허용범위</x:v>
      </x:c>
      <x:c r="D18" s="34" t="str">
        <x:v>Y</x:v>
      </x:c>
      <x:c r="E18" s="34" t="str">
        <x:v>비율</x:v>
      </x:c>
      <x:c r="F18" s="34" t="str">
        <x:v>전월 ±20%, 전전월 ±30%</x:v>
      </x:c>
      <x:c r="G18" s="34" t="str">
        <x:v>구매/수급</x:v>
      </x:c>
      <x:c r="H18" s="34" t="str">
        <x:v>구매</x:v>
      </x:c>
      <x:c r="I18" s="35" t="str">
        <x:v>기간별 Rule</x:v>
      </x:c>
    </x:row>
    <x:row r="19">
      <x:c r="A19" s="33" t="str">
        <x:v>발주</x:v>
      </x:c>
      <x:c r="B19" s="34" t="str">
        <x:v>최종 발주량</x:v>
      </x:c>
      <x:c r="C19" s="34" t="str">
        <x:v>승인 후 FX-LIVE에 FIX하는 수량</x:v>
      </x:c>
      <x:c r="D19" s="34" t="str">
        <x:v>Y</x:v>
      </x:c>
      <x:c r="E19" s="34" t="str">
        <x:v>정수/대</x:v>
      </x:c>
      <x:c r="F19" s="34" t="str">
        <x:v>기기·옵션별</x:v>
      </x:c>
      <x:c r="G19" s="34" t="str">
        <x:v>발주계산/FX-LIVE</x:v>
      </x:c>
      <x:c r="H19" s="34" t="str">
        <x:v>수급</x:v>
      </x:c>
      <x:c r="I19" s="35" t="str">
        <x:v>승인본과 일치</x:v>
      </x:c>
    </x:row>
    <x:row r="20">
      <x:c r="A20" s="33" t="str">
        <x:v>물류</x:v>
      </x:c>
      <x:c r="B20" s="34" t="str">
        <x:v>선적정보</x:v>
      </x:c>
      <x:c r="C20" s="34" t="str">
        <x:v>현지 선적일·운송정보·도착예정</x:v>
      </x:c>
      <x:c r="D20" s="34" t="str">
        <x:v>N</x:v>
      </x:c>
      <x:c r="E20" s="34" t="str">
        <x:v>일자/문자</x:v>
      </x:c>
      <x:c r="F20" s="34" t="str">
        <x:v>항만·항공</x:v>
      </x:c>
      <x:c r="G20" s="34" t="str">
        <x:v>물류/구매</x:v>
      </x:c>
      <x:c r="H20" s="34" t="str">
        <x:v>구매</x:v>
      </x:c>
      <x:c r="I20" s="35" t="str">
        <x:v>PO와 연결</x:v>
      </x:c>
    </x:row>
    <x:row r="21">
      <x:c r="A21" s="33" t="str">
        <x:v>통관</x:v>
      </x:c>
      <x:c r="B21" s="34" t="str">
        <x:v>통관서류</x:v>
      </x:c>
      <x:c r="C21" s="34" t="str">
        <x:v>Invoice·PL·B/L·AWB 등</x:v>
      </x:c>
      <x:c r="D21" s="34" t="str">
        <x:v>N</x:v>
      </x:c>
      <x:c r="E21" s="34" t="str">
        <x:v>파일/문자</x:v>
      </x:c>
      <x:c r="F21" s="34" t="str">
        <x:v>문서번호</x:v>
      </x:c>
      <x:c r="G21" s="34" t="str">
        <x:v>통관</x:v>
      </x:c>
      <x:c r="H21" s="34" t="str">
        <x:v>통관</x:v>
      </x:c>
      <x:c r="I21" s="35" t="str">
        <x:v>필수서류 누락</x:v>
      </x:c>
    </x:row>
    <x:row r="22">
      <x:c r="A22" s="33" t="str">
        <x:v>입고</x:v>
      </x:c>
      <x:c r="B22" s="34" t="str">
        <x:v>검수결과</x:v>
      </x:c>
      <x:c r="C22" s="34" t="str">
        <x:v>입고수량·상태·파손·품질 결과</x:v>
      </x:c>
      <x:c r="D22" s="34" t="str">
        <x:v>Y</x:v>
      </x:c>
      <x:c r="E22" s="34" t="str">
        <x:v>코드/수량</x:v>
      </x:c>
      <x:c r="F22" s="34" t="str">
        <x:v>정상·부족·파손</x:v>
      </x:c>
      <x:c r="G22" s="34" t="str">
        <x:v>물류/품질</x:v>
      </x:c>
      <x:c r="H22" s="34" t="str">
        <x:v>물류</x:v>
      </x:c>
      <x:c r="I22" s="35" t="str">
        <x:v>PO·실물 대사</x:v>
      </x:c>
    </x:row>
    <x:row r="23">
      <x:c r="A23" s="33" t="str">
        <x:v>지급</x:v>
      </x:c>
      <x:c r="B23" s="34" t="str">
        <x:v>PO Match 결과</x:v>
      </x:c>
      <x:c r="C23" s="34" t="str">
        <x:v>PO·입고·Invoice 대사 결과</x:v>
      </x:c>
      <x:c r="D23" s="34" t="str">
        <x:v>Y</x:v>
      </x:c>
      <x:c r="E23" s="34" t="str">
        <x:v>코드</x:v>
      </x:c>
      <x:c r="F23" s="34" t="str">
        <x:v>Matched/Exception</x:v>
      </x:c>
      <x:c r="G23" s="34" t="str">
        <x:v>ERP/재무</x:v>
      </x:c>
      <x:c r="H23" s="34" t="str">
        <x:v>재무</x:v>
      </x:c>
      <x:c r="I23" s="35" t="str">
        <x:v>3-way match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4" hidden="0" customWidth="1"/>
    <x:col min="9" max="9" width="18" hidden="0" customWidth="1"/>
    <x:col min="10" max="10" width="30" hidden="0" customWidth="1"/>
  </x:cols>
  <x:sheetData>
    <x:row r="1" ht="30" customHeight="1">
      <x:c r="A1" s="4" t="str">
        <x:v>05. 역할 및 책임(RACI)</x:v>
      </x:c>
      <x:c r="B1" s="4" t="str">
        <x:v>05. 역할 및 책임(RACI)</x:v>
      </x:c>
      <x:c r="C1" s="4" t="str">
        <x:v>05. 역할 및 책임(RACI)</x:v>
      </x:c>
      <x:c r="D1" s="4" t="str">
        <x:v>05. 역할 및 책임(RACI)</x:v>
      </x:c>
      <x:c r="E1" s="4" t="str">
        <x:v>05. 역할 및 책임(RACI)</x:v>
      </x:c>
      <x:c r="F1" s="4" t="str">
        <x:v>05. 역할 및 책임(RACI)</x:v>
      </x:c>
      <x:c r="G1" s="4" t="str">
        <x:v>05. 역할 및 책임(RACI)</x:v>
      </x:c>
      <x:c r="H1" s="4" t="str">
        <x:v>05. 역할 및 책임(RACI)</x:v>
      </x:c>
      <x:c r="I1" s="4" t="str">
        <x:v>05. 역할 및 책임(RACI)</x:v>
      </x:c>
      <x:c r="J1" s="4" t="str">
        <x:v>05. 역할 및 책임(RACI)</x:v>
      </x:c>
    </x:row>
    <x:row r="2" ht="32" customHeight="1">
      <x:c r="A2" s="8" t="str">
        <x:v>R=실행책임, A=최종책임/승인, C=협의, I=공유. 조직명은 실제 조직도에 맞춰 교체합니다.</x:v>
      </x:c>
      <x:c r="B2" s="8" t="str">
        <x:v>R=실행책임, A=최종책임/승인, C=협의, I=공유. 조직명은 실제 조직도에 맞춰 교체합니다.</x:v>
      </x:c>
      <x:c r="C2" s="8" t="str">
        <x:v>R=실행책임, A=최종책임/승인, C=협의, I=공유. 조직명은 실제 조직도에 맞춰 교체합니다.</x:v>
      </x:c>
      <x:c r="D2" s="8" t="str">
        <x:v>R=실행책임, A=최종책임/승인, C=협의, I=공유. 조직명은 실제 조직도에 맞춰 교체합니다.</x:v>
      </x:c>
      <x:c r="E2" s="8" t="str">
        <x:v>R=실행책임, A=최종책임/승인, C=협의, I=공유. 조직명은 실제 조직도에 맞춰 교체합니다.</x:v>
      </x:c>
      <x:c r="F2" s="8" t="str">
        <x:v>R=실행책임, A=최종책임/승인, C=협의, I=공유. 조직명은 실제 조직도에 맞춰 교체합니다.</x:v>
      </x:c>
      <x:c r="G2" s="8" t="str">
        <x:v>R=실행책임, A=최종책임/승인, C=협의, I=공유. 조직명은 실제 조직도에 맞춰 교체합니다.</x:v>
      </x:c>
      <x:c r="H2" s="8" t="str">
        <x:v>R=실행책임, A=최종책임/승인, C=협의, I=공유. 조직명은 실제 조직도에 맞춰 교체합니다.</x:v>
      </x:c>
      <x:c r="I2" s="8" t="str">
        <x:v>R=실행책임, A=최종책임/승인, C=협의, I=공유. 조직명은 실제 조직도에 맞춰 교체합니다.</x:v>
      </x:c>
      <x:c r="J2" s="8" t="str">
        <x:v>R=실행책임, A=최종책임/승인, C=협의, I=공유. 조직명은 실제 조직도에 맞춰 교체합니다.</x:v>
      </x:c>
    </x:row>
    <x:row r="4" ht="28" customHeight="1">
      <x:c r="A4" s="17" t="str">
        <x:v>업무</x:v>
      </x:c>
      <x:c r="B4" s="17" t="str">
        <x:v>영업</x:v>
      </x:c>
      <x:c r="C4" s="17" t="str">
        <x:v>수급</x:v>
      </x:c>
      <x:c r="D4" s="17" t="str">
        <x:v>구매</x:v>
      </x:c>
      <x:c r="E4" s="17" t="str">
        <x:v>물류</x:v>
      </x:c>
      <x:c r="F4" s="17" t="str">
        <x:v>마스터</x:v>
      </x:c>
      <x:c r="G4" s="17" t="str">
        <x:v>재무</x:v>
      </x:c>
      <x:c r="H4" s="17" t="str">
        <x:v>IT/시스템</x:v>
      </x:c>
      <x:c r="I4" s="17" t="str">
        <x:v>관리자/사장</x:v>
      </x:c>
      <x:c r="J4" s="17" t="str">
        <x:v>주요 결과물</x:v>
      </x:c>
    </x:row>
    <x:row r="5">
      <x:c r="A5" s="30" t="str">
        <x:v>OL 취합</x:v>
      </x:c>
      <x:c r="B5" s="44" t="str">
        <x:v>R</x:v>
      </x:c>
      <x:c r="C5" s="44" t="str">
        <x:v>A</x:v>
      </x:c>
      <x:c r="D5" s="44" t="str">
        <x:v>I</x:v>
      </x:c>
      <x:c r="E5" s="44" t="str">
        <x:v>I</x:v>
      </x:c>
      <x:c r="F5" s="44" t="str">
        <x:v>I</x:v>
      </x:c>
      <x:c r="G5" s="44" t="str">
        <x:v>I</x:v>
      </x:c>
      <x:c r="H5" s="44" t="str">
        <x:v>I</x:v>
      </x:c>
      <x:c r="I5" s="44" t="str">
        <x:v>I</x:v>
      </x:c>
      <x:c r="J5" s="32" t="str">
        <x:v>통합 OL</x:v>
      </x:c>
    </x:row>
    <x:row r="6">
      <x:c r="A6" s="33" t="str">
        <x:v>OL·SFDC·Bulk-deal 검증</x:v>
      </x:c>
      <x:c r="B6" s="45" t="str">
        <x:v>R</x:v>
      </x:c>
      <x:c r="C6" s="45" t="str">
        <x:v>A</x:v>
      </x:c>
      <x:c r="D6" s="45" t="str">
        <x:v>C</x:v>
      </x:c>
      <x:c r="E6" s="45" t="str">
        <x:v>I</x:v>
      </x:c>
      <x:c r="F6" s="45" t="str">
        <x:v>I</x:v>
      </x:c>
      <x:c r="G6" s="45" t="str">
        <x:v>I</x:v>
      </x:c>
      <x:c r="H6" s="45" t="str">
        <x:v>I</x:v>
      </x:c>
      <x:c r="I6" s="45" t="str">
        <x:v>C</x:v>
      </x:c>
      <x:c r="J6" s="35" t="str">
        <x:v>검증 수요</x:v>
      </x:c>
    </x:row>
    <x:row r="7">
      <x:c r="A7" s="33" t="str">
        <x:v>수급회의·당월 수요 확정</x:v>
      </x:c>
      <x:c r="B7" s="45" t="str">
        <x:v>C</x:v>
      </x:c>
      <x:c r="C7" s="45" t="str">
        <x:v>R</x:v>
      </x:c>
      <x:c r="D7" s="45" t="str">
        <x:v>C</x:v>
      </x:c>
      <x:c r="E7" s="45" t="str">
        <x:v>C</x:v>
      </x:c>
      <x:c r="F7" s="45" t="str">
        <x:v>I</x:v>
      </x:c>
      <x:c r="G7" s="45" t="str">
        <x:v>I</x:v>
      </x:c>
      <x:c r="H7" s="45" t="str">
        <x:v>I</x:v>
      </x:c>
      <x:c r="I7" s="45" t="str">
        <x:v>A</x:v>
      </x:c>
      <x:c r="J7" s="35" t="str">
        <x:v>확정 수요·회의록</x:v>
      </x:c>
    </x:row>
    <x:row r="8">
      <x:c r="A8" s="33" t="str">
        <x:v>전월말 재고 확인</x:v>
      </x:c>
      <x:c r="B8" s="45" t="str">
        <x:v>I</x:v>
      </x:c>
      <x:c r="C8" s="45" t="str">
        <x:v>A</x:v>
      </x:c>
      <x:c r="D8" s="45" t="str">
        <x:v>C</x:v>
      </x:c>
      <x:c r="E8" s="45" t="str">
        <x:v>R</x:v>
      </x:c>
      <x:c r="F8" s="45" t="str">
        <x:v>I</x:v>
      </x:c>
      <x:c r="G8" s="45" t="str">
        <x:v>I</x:v>
      </x:c>
      <x:c r="H8" s="45" t="str">
        <x:v>I</x:v>
      </x:c>
      <x:c r="I8" s="45" t="str">
        <x:v>I</x:v>
      </x:c>
      <x:c r="J8" s="35" t="str">
        <x:v>가용재고</x:v>
      </x:c>
    </x:row>
    <x:row r="9">
      <x:c r="A9" s="33" t="str">
        <x:v>Open PO·Lead Time 확인</x:v>
      </x:c>
      <x:c r="B9" s="45" t="str">
        <x:v>I</x:v>
      </x:c>
      <x:c r="C9" s="45" t="str">
        <x:v>C</x:v>
      </x:c>
      <x:c r="D9" s="45" t="str">
        <x:v>R</x:v>
      </x:c>
      <x:c r="E9" s="45" t="str">
        <x:v>C</x:v>
      </x:c>
      <x:c r="F9" s="45" t="str">
        <x:v>I</x:v>
      </x:c>
      <x:c r="G9" s="45" t="str">
        <x:v>I</x:v>
      </x:c>
      <x:c r="H9" s="45" t="str">
        <x:v>I</x:v>
      </x:c>
      <x:c r="I9" s="45" t="str">
        <x:v>I</x:v>
      </x:c>
      <x:c r="J9" s="35" t="str">
        <x:v>입고 가능 Open PO</x:v>
      </x:c>
    </x:row>
    <x:row r="10">
      <x:c r="A10" s="33" t="str">
        <x:v>기기 발주량 계산</x:v>
      </x:c>
      <x:c r="B10" s="45" t="str">
        <x:v>I</x:v>
      </x:c>
      <x:c r="C10" s="45" t="str">
        <x:v>R</x:v>
      </x:c>
      <x:c r="D10" s="45" t="str">
        <x:v>C</x:v>
      </x:c>
      <x:c r="E10" s="45" t="str">
        <x:v>C</x:v>
      </x:c>
      <x:c r="F10" s="45" t="str">
        <x:v>C</x:v>
      </x:c>
      <x:c r="G10" s="45" t="str">
        <x:v>I</x:v>
      </x:c>
      <x:c r="H10" s="45" t="str">
        <x:v>C</x:v>
      </x:c>
      <x:c r="I10" s="45" t="str">
        <x:v>A</x:v>
      </x:c>
      <x:c r="J10" s="35" t="str">
        <x:v>기기 최종 발주량</x:v>
      </x:c>
    </x:row>
    <x:row r="11">
      <x:c r="A11" s="33" t="str">
        <x:v>옵션 발주량 계산</x:v>
      </x:c>
      <x:c r="B11" s="45" t="str">
        <x:v>I</x:v>
      </x:c>
      <x:c r="C11" s="45" t="str">
        <x:v>R</x:v>
      </x:c>
      <x:c r="D11" s="45" t="str">
        <x:v>C</x:v>
      </x:c>
      <x:c r="E11" s="45" t="str">
        <x:v>C</x:v>
      </x:c>
      <x:c r="F11" s="45" t="str">
        <x:v>C</x:v>
      </x:c>
      <x:c r="G11" s="45" t="str">
        <x:v>I</x:v>
      </x:c>
      <x:c r="H11" s="45" t="str">
        <x:v>C</x:v>
      </x:c>
      <x:c r="I11" s="45" t="str">
        <x:v>A</x:v>
      </x:c>
      <x:c r="J11" s="35" t="str">
        <x:v>옵션 최종 발주량</x:v>
      </x:c>
    </x:row>
    <x:row r="12">
      <x:c r="A12" s="33" t="str">
        <x:v>발주금액·보고자료</x:v>
      </x:c>
      <x:c r="B12" s="45" t="str">
        <x:v>I</x:v>
      </x:c>
      <x:c r="C12" s="45" t="str">
        <x:v>R</x:v>
      </x:c>
      <x:c r="D12" s="45" t="str">
        <x:v>C</x:v>
      </x:c>
      <x:c r="E12" s="45" t="str">
        <x:v>I</x:v>
      </x:c>
      <x:c r="F12" s="45" t="str">
        <x:v>I</x:v>
      </x:c>
      <x:c r="G12" s="45" t="str">
        <x:v>C</x:v>
      </x:c>
      <x:c r="H12" s="45" t="str">
        <x:v>C</x:v>
      </x:c>
      <x:c r="I12" s="45" t="str">
        <x:v>A</x:v>
      </x:c>
      <x:c r="J12" s="35" t="str">
        <x:v>보고자료</x:v>
      </x:c>
    </x:row>
    <x:row r="13">
      <x:c r="A13" s="33" t="str">
        <x:v>FX-LIVE 입력·검증</x:v>
      </x:c>
      <x:c r="B13" s="45" t="str">
        <x:v>I</x:v>
      </x:c>
      <x:c r="C13" s="45" t="str">
        <x:v>R</x:v>
      </x:c>
      <x:c r="D13" s="45" t="str">
        <x:v>C</x:v>
      </x:c>
      <x:c r="E13" s="45" t="str">
        <x:v>I</x:v>
      </x:c>
      <x:c r="F13" s="45" t="str">
        <x:v>I</x:v>
      </x:c>
      <x:c r="G13" s="45" t="str">
        <x:v>I</x:v>
      </x:c>
      <x:c r="H13" s="45" t="str">
        <x:v>R</x:v>
      </x:c>
      <x:c r="I13" s="45" t="str">
        <x:v>A</x:v>
      </x:c>
      <x:c r="J13" s="35" t="str">
        <x:v>FX-LIVE 제출량</x:v>
      </x:c>
    </x:row>
    <x:row r="14">
      <x:c r="A14" s="33" t="str">
        <x:v>선적·통관·입고</x:v>
      </x:c>
      <x:c r="B14" s="45" t="str">
        <x:v>I</x:v>
      </x:c>
      <x:c r="C14" s="45" t="str">
        <x:v>C</x:v>
      </x:c>
      <x:c r="D14" s="45" t="str">
        <x:v>R</x:v>
      </x:c>
      <x:c r="E14" s="45" t="str">
        <x:v>R</x:v>
      </x:c>
      <x:c r="F14" s="45" t="str">
        <x:v>I</x:v>
      </x:c>
      <x:c r="G14" s="45" t="str">
        <x:v>I</x:v>
      </x:c>
      <x:c r="H14" s="45" t="str">
        <x:v>I</x:v>
      </x:c>
      <x:c r="I14" s="45" t="str">
        <x:v>I</x:v>
      </x:c>
      <x:c r="J14" s="35" t="str">
        <x:v>입고·검수</x:v>
      </x:c>
    </x:row>
    <x:row r="15">
      <x:c r="A15" s="33" t="str">
        <x:v>PO Match·지급</x:v>
      </x:c>
      <x:c r="B15" s="45" t="str">
        <x:v>I</x:v>
      </x:c>
      <x:c r="C15" s="45" t="str">
        <x:v>C</x:v>
      </x:c>
      <x:c r="D15" s="45" t="str">
        <x:v>R</x:v>
      </x:c>
      <x:c r="E15" s="45" t="str">
        <x:v>C</x:v>
      </x:c>
      <x:c r="F15" s="45" t="str">
        <x:v>I</x:v>
      </x:c>
      <x:c r="G15" s="45" t="str">
        <x:v>A</x:v>
      </x:c>
      <x:c r="H15" s="45" t="str">
        <x:v>I</x:v>
      </x:c>
      <x:c r="I15" s="45" t="str">
        <x:v>I</x:v>
      </x:c>
      <x:c r="J15" s="35" t="str">
        <x:v>지급완료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2" hidden="0" customWidth="1"/>
    <x:col min="3" max="3" width="12" hidden="0" customWidth="1"/>
    <x:col min="4" max="4" width="14" hidden="0" customWidth="1"/>
    <x:col min="5" max="5" width="24" hidden="0" customWidth="1"/>
    <x:col min="6" max="6" width="24" hidden="0" customWidth="1"/>
    <x:col min="7" max="7" width="18" hidden="0" customWidth="1"/>
  </x:cols>
  <x:sheetData>
    <x:row r="1" ht="30" customHeight="1">
      <x:c r="A1" s="4" t="str">
        <x:v>06. 프로세스 KPI 정의</x:v>
      </x:c>
      <x:c r="B1" s="4" t="str">
        <x:v>06. 프로세스 KPI 정의</x:v>
      </x:c>
      <x:c r="C1" s="4" t="str">
        <x:v>06. 프로세스 KPI 정의</x:v>
      </x:c>
      <x:c r="D1" s="4" t="str">
        <x:v>06. 프로세스 KPI 정의</x:v>
      </x:c>
      <x:c r="E1" s="4" t="str">
        <x:v>06. 프로세스 KPI 정의</x:v>
      </x:c>
      <x:c r="F1" s="4" t="str">
        <x:v>06. 프로세스 KPI 정의</x:v>
      </x:c>
      <x:c r="G1" s="4" t="str">
        <x:v>06. 프로세스 KPI 정의</x:v>
      </x:c>
    </x:row>
    <x:row r="2" ht="32" customHeight="1">
      <x:c r="A2" s="8" t="str">
        <x:v>운영 후 월간 또는 분기별로 측정할 핵심 지표입니다. 목표값은 실제 운영 데이터 확보 후 확정합니다.</x:v>
      </x:c>
      <x:c r="B2" s="8" t="str">
        <x:v>운영 후 월간 또는 분기별로 측정할 핵심 지표입니다. 목표값은 실제 운영 데이터 확보 후 확정합니다.</x:v>
      </x:c>
      <x:c r="C2" s="8" t="str">
        <x:v>운영 후 월간 또는 분기별로 측정할 핵심 지표입니다. 목표값은 실제 운영 데이터 확보 후 확정합니다.</x:v>
      </x:c>
      <x:c r="D2" s="8" t="str">
        <x:v>운영 후 월간 또는 분기별로 측정할 핵심 지표입니다. 목표값은 실제 운영 데이터 확보 후 확정합니다.</x:v>
      </x:c>
      <x:c r="E2" s="8" t="str">
        <x:v>운영 후 월간 또는 분기별로 측정할 핵심 지표입니다. 목표값은 실제 운영 데이터 확보 후 확정합니다.</x:v>
      </x:c>
      <x:c r="F2" s="8" t="str">
        <x:v>운영 후 월간 또는 분기별로 측정할 핵심 지표입니다. 목표값은 실제 운영 데이터 확보 후 확정합니다.</x:v>
      </x:c>
      <x:c r="G2" s="8" t="str">
        <x:v>운영 후 월간 또는 분기별로 측정할 핵심 지표입니다. 목표값은 실제 운영 데이터 확보 후 확정합니다.</x:v>
      </x:c>
    </x:row>
    <x:row r="4" ht="28" customHeight="1">
      <x:c r="A4" s="17" t="str">
        <x:v>KPI</x:v>
      </x:c>
      <x:c r="B4" s="17" t="str">
        <x:v>정의/산식</x:v>
      </x:c>
      <x:c r="C4" s="17" t="str">
        <x:v>단위</x:v>
      </x:c>
      <x:c r="D4" s="17" t="str">
        <x:v>측정주기</x:v>
      </x:c>
      <x:c r="E4" s="17" t="str">
        <x:v>데이터 원천</x:v>
      </x:c>
      <x:c r="F4" s="17" t="str">
        <x:v>권장 목표 방향</x:v>
      </x:c>
      <x:c r="G4" s="17" t="str">
        <x:v>담당</x:v>
      </x:c>
    </x:row>
    <x:row r="5">
      <x:c r="A5" s="30" t="str">
        <x:v>OL 취합 완료 소요일</x:v>
      </x:c>
      <x:c r="B5" s="31" t="str">
        <x:v>OL 취합 시작일~통합완료일</x:v>
      </x:c>
      <x:c r="C5" s="31" t="str">
        <x:v>일</x:v>
      </x:c>
      <x:c r="D5" s="31" t="str">
        <x:v>월</x:v>
      </x:c>
      <x:c r="E5" s="31" t="str">
        <x:v>OL 관리</x:v>
      </x:c>
      <x:c r="F5" s="31" t="str">
        <x:v>단축</x:v>
      </x:c>
      <x:c r="G5" s="32" t="str">
        <x:v>수급</x:v>
      </x:c>
    </x:row>
    <x:row r="6">
      <x:c r="A6" s="33" t="str">
        <x:v>OL 오류 건수</x:v>
      </x:c>
      <x:c r="B6" s="34" t="str">
        <x:v>검증에서 발견된 오류 건수</x:v>
      </x:c>
      <x:c r="C6" s="34" t="str">
        <x:v>건</x:v>
      </x:c>
      <x:c r="D6" s="34" t="str">
        <x:v>월</x:v>
      </x:c>
      <x:c r="E6" s="34" t="str">
        <x:v>OL 검증</x:v>
      </x:c>
      <x:c r="F6" s="34" t="str">
        <x:v>감소</x:v>
      </x:c>
      <x:c r="G6" s="35" t="str">
        <x:v>수급/영업</x:v>
      </x:c>
    </x:row>
    <x:row r="7">
      <x:c r="A7" s="33" t="str">
        <x:v>수요 확정 변경률</x:v>
      </x:c>
      <x:c r="B7" s="34" t="str">
        <x:v>회의 후 확정수요 변경량 ÷ 최초 OL</x:v>
      </x:c>
      <x:c r="C7" s="34" t="str">
        <x:v>%</x:v>
      </x:c>
      <x:c r="D7" s="34" t="str">
        <x:v>월</x:v>
      </x:c>
      <x:c r="E7" s="34" t="str">
        <x:v>OL·수급회의</x:v>
      </x:c>
      <x:c r="F7" s="34" t="str">
        <x:v>감소 또는 원인관리</x:v>
      </x:c>
      <x:c r="G7" s="35" t="str">
        <x:v>수급</x:v>
      </x:c>
    </x:row>
    <x:row r="8">
      <x:c r="A8" s="33" t="str">
        <x:v>OL 대비 발주 차이율</x:v>
      </x:c>
      <x:c r="B8" s="34" t="str">
        <x:v>(최종발주량-OL)/OL</x:v>
      </x:c>
      <x:c r="C8" s="34" t="str">
        <x:v>%</x:v>
      </x:c>
      <x:c r="D8" s="34" t="str">
        <x:v>월</x:v>
      </x:c>
      <x:c r="E8" s="34" t="str">
        <x:v>OL·FX-LIVE</x:v>
      </x:c>
      <x:c r="F8" s="34" t="str">
        <x:v>허용범위 내</x:v>
      </x:c>
      <x:c r="G8" s="35" t="str">
        <x:v>수급/구매</x:v>
      </x:c>
    </x:row>
    <x:row r="9">
      <x:c r="A9" s="33" t="str">
        <x:v>Flex Rule 초과 건수</x:v>
      </x:c>
      <x:c r="B9" s="34" t="str">
        <x:v>허용범위 초과 품목 수</x:v>
      </x:c>
      <x:c r="C9" s="34" t="str">
        <x:v>건</x:v>
      </x:c>
      <x:c r="D9" s="34" t="str">
        <x:v>월</x:v>
      </x:c>
      <x:c r="E9" s="34" t="str">
        <x:v>OL·발주계산</x:v>
      </x:c>
      <x:c r="F9" s="34" t="str">
        <x:v>감소·예외사유 100%</x:v>
      </x:c>
      <x:c r="G9" s="35" t="str">
        <x:v>구매</x:v>
      </x:c>
    </x:row>
    <x:row r="10">
      <x:c r="A10" s="33" t="str">
        <x:v>MOQ 과잉 발주금액</x:v>
      </x:c>
      <x:c r="B10" s="34" t="str">
        <x:v>MOQ 반올림으로 증가한 금액</x:v>
      </x:c>
      <x:c r="C10" s="34" t="str">
        <x:v>금액</x:v>
      </x:c>
      <x:c r="D10" s="34" t="str">
        <x:v>월</x:v>
      </x:c>
      <x:c r="E10" s="34" t="str">
        <x:v>발주계산</x:v>
      </x:c>
      <x:c r="F10" s="34" t="str">
        <x:v>감소</x:v>
      </x:c>
      <x:c r="G10" s="35" t="str">
        <x:v>구매</x:v>
      </x:c>
    </x:row>
    <x:row r="11">
      <x:c r="A11" s="33" t="str">
        <x:v>재고 부족 건수</x:v>
      </x:c>
      <x:c r="B11" s="34" t="str">
        <x:v>필요월도 내 가용재고 부족 품목 수</x:v>
      </x:c>
      <x:c r="C11" s="34" t="str">
        <x:v>건</x:v>
      </x:c>
      <x:c r="D11" s="34" t="str">
        <x:v>월</x:v>
      </x:c>
      <x:c r="E11" s="34" t="str">
        <x:v>재고·발주계산</x:v>
      </x:c>
      <x:c r="F11" s="34" t="str">
        <x:v>감소</x:v>
      </x:c>
      <x:c r="G11" s="35" t="str">
        <x:v>수급/물류</x:v>
      </x:c>
    </x:row>
    <x:row r="12">
      <x:c r="A12" s="33" t="str">
        <x:v>Supplier 정시 입고율</x:v>
      </x:c>
      <x:c r="B12" s="34" t="str">
        <x:v>정시 입고 PO ÷ 전체 입고 PO</x:v>
      </x:c>
      <x:c r="C12" s="34" t="str">
        <x:v>%</x:v>
      </x:c>
      <x:c r="D12" s="34" t="str">
        <x:v>월/분기</x:v>
      </x:c>
      <x:c r="E12" s="34" t="str">
        <x:v>PO·입고</x:v>
      </x:c>
      <x:c r="F12" s="34" t="str">
        <x:v>상승</x:v>
      </x:c>
      <x:c r="G12" s="35" t="str">
        <x:v>구매/물류</x:v>
      </x:c>
    </x:row>
    <x:row r="13">
      <x:c r="A13" s="33" t="str">
        <x:v>입고수량 차이율</x:v>
      </x:c>
      <x:c r="B13" s="34" t="str">
        <x:v>(입고수량-발주수량)/발주수량</x:v>
      </x:c>
      <x:c r="C13" s="34" t="str">
        <x:v>%</x:v>
      </x:c>
      <x:c r="D13" s="34" t="str">
        <x:v>월</x:v>
      </x:c>
      <x:c r="E13" s="34" t="str">
        <x:v>PO·입고</x:v>
      </x:c>
      <x:c r="F13" s="34" t="str">
        <x:v>0에 수렴</x:v>
      </x:c>
      <x:c r="G13" s="35" t="str">
        <x:v>물류</x:v>
      </x:c>
    </x:row>
    <x:row r="14">
      <x:c r="A14" s="33" t="str">
        <x:v>통관 평균 지연일수</x:v>
      </x:c>
      <x:c r="B14" s="34" t="str">
        <x:v>실제 통관완료일-예정일</x:v>
      </x:c>
      <x:c r="C14" s="34" t="str">
        <x:v>일</x:v>
      </x:c>
      <x:c r="D14" s="34" t="str">
        <x:v>월</x:v>
      </x:c>
      <x:c r="E14" s="34" t="str">
        <x:v>통관</x:v>
      </x:c>
      <x:c r="F14" s="34" t="str">
        <x:v>감소</x:v>
      </x:c>
      <x:c r="G14" s="35" t="str">
        <x:v>통관/물류</x:v>
      </x:c>
    </x:row>
    <x:row r="15">
      <x:c r="A15" s="33" t="str">
        <x:v>PO Match 예외율</x:v>
      </x:c>
      <x:c r="B15" s="34" t="str">
        <x:v>예외 PO 수 ÷ 전체 Invoice PO</x:v>
      </x:c>
      <x:c r="C15" s="34" t="str">
        <x:v>%</x:v>
      </x:c>
      <x:c r="D15" s="34" t="str">
        <x:v>월</x:v>
      </x:c>
      <x:c r="E15" s="34" t="str">
        <x:v>ERP/재무</x:v>
      </x:c>
      <x:c r="F15" s="34" t="str">
        <x:v>감소</x:v>
      </x:c>
      <x:c r="G15" s="35" t="str">
        <x:v>재무/구매</x:v>
      </x:c>
    </x:row>
    <x:row r="16">
      <x:c r="A16" s="33" t="str">
        <x:v>지급 처리 리드타임</x:v>
      </x:c>
      <x:c r="B16" s="34" t="str">
        <x:v>Invoice 접수~지급완료 평균</x:v>
      </x:c>
      <x:c r="C16" s="34" t="str">
        <x:v>일</x:v>
      </x:c>
      <x:c r="D16" s="34" t="str">
        <x:v>월</x:v>
      </x:c>
      <x:c r="E16" s="34" t="str">
        <x:v>ERP/재무</x:v>
      </x:c>
      <x:c r="F16" s="34" t="str">
        <x:v>단축</x:v>
      </x:c>
      <x:c r="G16" s="35" t="str">
        <x:v>재무</x:v>
      </x:c>
    </x:row>
    <x:row r="17">
      <x:c r="A17" s="33"/>
      <x:c r="B17" s="34"/>
      <x:c r="C17" s="34"/>
      <x:c r="D17" s="34"/>
      <x:c r="E17" s="34"/>
      <x:c r="F17" s="34"/>
      <x:c r="G17" s="35"/>
    </x:row>
  </x:sheetData>
  <x:mergeCells>
    <x:mergeCell ref="A1:G1"/>
    <x:mergeCell ref="A2:G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8" hidden="0" customWidth="1"/>
    <x:col min="4" max="4" width="28" hidden="0" customWidth="1"/>
    <x:col min="5" max="5" width="20" hidden="0" customWidth="1"/>
    <x:col min="6" max="6" width="12" hidden="0" customWidth="1"/>
    <x:col min="7" max="7" width="14" hidden="0" customWidth="1"/>
    <x:col min="8" max="8" width="16" hidden="0" customWidth="1"/>
    <x:col min="9" max="9" width="14" hidden="0" customWidth="1"/>
    <x:col min="10" max="10" width="14" hidden="0" customWidth="1"/>
    <x:col min="11" max="11" width="10" hidden="0" customWidth="1"/>
    <x:col min="12" max="12" width="14" hidden="0" customWidth="1"/>
    <x:col min="13" max="13" width="14" hidden="0" customWidth="1"/>
    <x:col min="14" max="14" width="16" hidden="0" customWidth="1"/>
    <x:col min="15" max="15" width="12" hidden="0" customWidth="1"/>
    <x:col min="16" max="16" width="14" hidden="0" customWidth="1"/>
    <x:col min="17" max="17" width="16" hidden="0" customWidth="1"/>
    <x:col min="18" max="18" width="18" hidden="0" customWidth="1"/>
    <x:col min="19" max="19" width="16" hidden="0" customWidth="1"/>
    <x:col min="20" max="20" width="16" hidden="0" customWidth="1"/>
    <x:col min="21" max="21" width="24" hidden="0" customWidth="1"/>
    <x:col min="22" max="22" width="26" hidden="0" customWidth="1"/>
  </x:cols>
  <x:sheetData>
    <x:row r="1" ht="30" customHeight="1">
      <x:c r="A1" s="4" t="str">
        <x:v>07. 발주량 계산 템플릿</x:v>
      </x:c>
      <x:c r="B1" s="4" t="str">
        <x:v>07. 발주량 계산 템플릿</x:v>
      </x:c>
      <x:c r="C1" s="4" t="str">
        <x:v>07. 발주량 계산 템플릿</x:v>
      </x:c>
      <x:c r="D1" s="4" t="str">
        <x:v>07. 발주량 계산 템플릿</x:v>
      </x:c>
      <x:c r="E1" s="4" t="str">
        <x:v>07. 발주량 계산 템플릿</x:v>
      </x:c>
      <x:c r="F1" s="4" t="str">
        <x:v>07. 발주량 계산 템플릿</x:v>
      </x:c>
      <x:c r="G1" s="4" t="str">
        <x:v>07. 발주량 계산 템플릿</x:v>
      </x:c>
      <x:c r="H1" s="4" t="str">
        <x:v>07. 발주량 계산 템플릿</x:v>
      </x:c>
      <x:c r="I1" s="4" t="str">
        <x:v>07. 발주량 계산 템플릿</x:v>
      </x:c>
      <x:c r="J1" s="4" t="str">
        <x:v>07. 발주량 계산 템플릿</x:v>
      </x:c>
      <x:c r="K1" s="4" t="str">
        <x:v>07. 발주량 계산 템플릿</x:v>
      </x:c>
      <x:c r="L1" s="4" t="str">
        <x:v>07. 발주량 계산 템플릿</x:v>
      </x:c>
      <x:c r="M1" s="4" t="str">
        <x:v>07. 발주량 계산 템플릿</x:v>
      </x:c>
      <x:c r="N1" s="4" t="str">
        <x:v>07. 발주량 계산 템플릿</x:v>
      </x:c>
      <x:c r="O1" s="4" t="str">
        <x:v>07. 발주량 계산 템플릿</x:v>
      </x:c>
      <x:c r="P1" s="4" t="str">
        <x:v>07. 발주량 계산 템플릿</x:v>
      </x:c>
      <x:c r="Q1" s="4" t="str">
        <x:v>07. 발주량 계산 템플릿</x:v>
      </x:c>
      <x:c r="R1" s="4" t="str">
        <x:v>07. 발주량 계산 템플릿</x:v>
      </x:c>
      <x:c r="S1" s="4" t="str">
        <x:v>07. 발주량 계산 템플릿</x:v>
      </x:c>
      <x:c r="T1" s="4" t="str">
        <x:v>07. 발주량 계산 템플릿</x:v>
      </x:c>
      <x:c r="U1" s="4" t="str">
        <x:v>07. 발주량 계산 템플릿</x:v>
      </x:c>
      <x:c r="V1" s="4" t="str">
        <x:v>07. 발주량 계산 템플릿</x:v>
      </x:c>
    </x:row>
    <x:row r="2" ht="32" customHeight="1">
      <x:c r="A2" s="8" t="str">
        <x:v>입력 열의 샘플값을 실제 월간 데이터로 교체하면 계산 열에서 순소요량·MOQ·금액·Flex·예외를 확인할 수 있습니다. 금액 단위는 예시로 KRW를 사용합니다.</x:v>
      </x:c>
      <x:c r="B2" s="8" t="str">
        <x:v>입력 열의 샘플값을 실제 월간 데이터로 교체하면 계산 열에서 순소요량·MOQ·금액·Flex·예외를 확인할 수 있습니다. 금액 단위는 예시로 KRW를 사용합니다.</x:v>
      </x:c>
      <x:c r="C2" s="8" t="str">
        <x:v>입력 열의 샘플값을 실제 월간 데이터로 교체하면 계산 열에서 순소요량·MOQ·금액·Flex·예외를 확인할 수 있습니다. 금액 단위는 예시로 KRW를 사용합니다.</x:v>
      </x:c>
      <x:c r="D2" s="8" t="str">
        <x:v>입력 열의 샘플값을 실제 월간 데이터로 교체하면 계산 열에서 순소요량·MOQ·금액·Flex·예외를 확인할 수 있습니다. 금액 단위는 예시로 KRW를 사용합니다.</x:v>
      </x:c>
      <x:c r="E2" s="8" t="str">
        <x:v>입력 열의 샘플값을 실제 월간 데이터로 교체하면 계산 열에서 순소요량·MOQ·금액·Flex·예외를 확인할 수 있습니다. 금액 단위는 예시로 KRW를 사용합니다.</x:v>
      </x:c>
      <x:c r="F2" s="8" t="str">
        <x:v>입력 열의 샘플값을 실제 월간 데이터로 교체하면 계산 열에서 순소요량·MOQ·금액·Flex·예외를 확인할 수 있습니다. 금액 단위는 예시로 KRW를 사용합니다.</x:v>
      </x:c>
      <x:c r="G2" s="8" t="str">
        <x:v>입력 열의 샘플값을 실제 월간 데이터로 교체하면 계산 열에서 순소요량·MOQ·금액·Flex·예외를 확인할 수 있습니다. 금액 단위는 예시로 KRW를 사용합니다.</x:v>
      </x:c>
      <x:c r="H2" s="8" t="str">
        <x:v>입력 열의 샘플값을 실제 월간 데이터로 교체하면 계산 열에서 순소요량·MOQ·금액·Flex·예외를 확인할 수 있습니다. 금액 단위는 예시로 KRW를 사용합니다.</x:v>
      </x:c>
      <x:c r="I2" s="8" t="str">
        <x:v>입력 열의 샘플값을 실제 월간 데이터로 교체하면 계산 열에서 순소요량·MOQ·금액·Flex·예외를 확인할 수 있습니다. 금액 단위는 예시로 KRW를 사용합니다.</x:v>
      </x:c>
      <x:c r="J2" s="8" t="str">
        <x:v>입력 열의 샘플값을 실제 월간 데이터로 교체하면 계산 열에서 순소요량·MOQ·금액·Flex·예외를 확인할 수 있습니다. 금액 단위는 예시로 KRW를 사용합니다.</x:v>
      </x:c>
      <x:c r="K2" s="8" t="str">
        <x:v>입력 열의 샘플값을 실제 월간 데이터로 교체하면 계산 열에서 순소요량·MOQ·금액·Flex·예외를 확인할 수 있습니다. 금액 단위는 예시로 KRW를 사용합니다.</x:v>
      </x:c>
      <x:c r="L2" s="8" t="str">
        <x:v>입력 열의 샘플값을 실제 월간 데이터로 교체하면 계산 열에서 순소요량·MOQ·금액·Flex·예외를 확인할 수 있습니다. 금액 단위는 예시로 KRW를 사용합니다.</x:v>
      </x:c>
      <x:c r="M2" s="8" t="str">
        <x:v>입력 열의 샘플값을 실제 월간 데이터로 교체하면 계산 열에서 순소요량·MOQ·금액·Flex·예외를 확인할 수 있습니다. 금액 단위는 예시로 KRW를 사용합니다.</x:v>
      </x:c>
      <x:c r="N2" s="8" t="str">
        <x:v>입력 열의 샘플값을 실제 월간 데이터로 교체하면 계산 열에서 순소요량·MOQ·금액·Flex·예외를 확인할 수 있습니다. 금액 단위는 예시로 KRW를 사용합니다.</x:v>
      </x:c>
      <x:c r="O2" s="8" t="str">
        <x:v>입력 열의 샘플값을 실제 월간 데이터로 교체하면 계산 열에서 순소요량·MOQ·금액·Flex·예외를 확인할 수 있습니다. 금액 단위는 예시로 KRW를 사용합니다.</x:v>
      </x:c>
      <x:c r="P2" s="8" t="str">
        <x:v>입력 열의 샘플값을 실제 월간 데이터로 교체하면 계산 열에서 순소요량·MOQ·금액·Flex·예외를 확인할 수 있습니다. 금액 단위는 예시로 KRW를 사용합니다.</x:v>
      </x:c>
      <x:c r="Q2" s="8" t="str">
        <x:v>입력 열의 샘플값을 실제 월간 데이터로 교체하면 계산 열에서 순소요량·MOQ·금액·Flex·예외를 확인할 수 있습니다. 금액 단위는 예시로 KRW를 사용합니다.</x:v>
      </x:c>
      <x:c r="R2" s="8" t="str">
        <x:v>입력 열의 샘플값을 실제 월간 데이터로 교체하면 계산 열에서 순소요량·MOQ·금액·Flex·예외를 확인할 수 있습니다. 금액 단위는 예시로 KRW를 사용합니다.</x:v>
      </x:c>
      <x:c r="S2" s="8" t="str">
        <x:v>입력 열의 샘플값을 실제 월간 데이터로 교체하면 계산 열에서 순소요량·MOQ·금액·Flex·예외를 확인할 수 있습니다. 금액 단위는 예시로 KRW를 사용합니다.</x:v>
      </x:c>
      <x:c r="T2" s="8" t="str">
        <x:v>입력 열의 샘플값을 실제 월간 데이터로 교체하면 계산 열에서 순소요량·MOQ·금액·Flex·예외를 확인할 수 있습니다. 금액 단위는 예시로 KRW를 사용합니다.</x:v>
      </x:c>
      <x:c r="U2" s="8" t="str">
        <x:v>입력 열의 샘플값을 실제 월간 데이터로 교체하면 계산 열에서 순소요량·MOQ·금액·Flex·예외를 확인할 수 있습니다. 금액 단위는 예시로 KRW를 사용합니다.</x:v>
      </x:c>
      <x:c r="V2" s="8" t="str">
        <x:v>입력 열의 샘플값을 실제 월간 데이터로 교체하면 계산 열에서 순소요량·MOQ·금액·Flex·예외를 확인할 수 있습니다. 금액 단위는 예시로 KRW를 사용합니다.</x:v>
      </x:c>
    </x:row>
    <x:row r="4" ht="28" customHeight="1">
      <x:c r="A4" s="17" t="str">
        <x:v>구분</x:v>
      </x:c>
      <x:c r="B4" s="17" t="str">
        <x:v>필요월도</x:v>
      </x:c>
      <x:c r="C4" s="17" t="str">
        <x:v>품목코드</x:v>
      </x:c>
      <x:c r="D4" s="17" t="str">
        <x:v>품목명</x:v>
      </x:c>
      <x:c r="E4" s="17" t="str">
        <x:v>Supplier/지역</x:v>
      </x:c>
      <x:c r="F4" s="17" t="str">
        <x:v>확정수요</x:v>
      </x:c>
      <x:c r="G4" s="17" t="str">
        <x:v>목표기말재고</x:v>
      </x:c>
      <x:c r="H4" s="17" t="str">
        <x:v>전월말가용재고</x:v>
      </x:c>
      <x:c r="I4" s="17" t="str">
        <x:v>가용 Open PO</x:v>
      </x:c>
      <x:c r="J4" s="17" t="str">
        <x:v>순소요량</x:v>
      </x:c>
      <x:c r="K4" s="17" t="str">
        <x:v>MOQ</x:v>
      </x:c>
      <x:c r="L4" s="17" t="str">
        <x:v>최종발주량</x:v>
      </x:c>
      <x:c r="M4" s="17" t="str">
        <x:v>단가</x:v>
      </x:c>
      <x:c r="N4" s="17" t="str">
        <x:v>발주금액</x:v>
      </x:c>
      <x:c r="O4" s="17" t="str">
        <x:v>전월 OL</x:v>
      </x:c>
      <x:c r="P4" s="17" t="str">
        <x:v>전전월 OL</x:v>
      </x:c>
      <x:c r="Q4" s="17" t="str">
        <x:v>전월대비 변동률</x:v>
      </x:c>
      <x:c r="R4" s="17" t="str">
        <x:v>전전월대비 변동률</x:v>
      </x:c>
      <x:c r="S4" s="17" t="str">
        <x:v>Flex 결과</x:v>
      </x:c>
      <x:c r="T4" s="17" t="str">
        <x:v>기준기간</x:v>
      </x:c>
      <x:c r="U4" s="17" t="str">
        <x:v>장착율/BOM</x:v>
      </x:c>
      <x:c r="V4" s="17" t="str">
        <x:v>예외·조치</x:v>
      </x:c>
    </x:row>
    <x:row r="5">
      <x:c r="A5" s="30" t="str">
        <x:v>기기</x:v>
      </x:c>
      <x:c r="B5" s="31" t="str">
        <x:v>2026-09</x:v>
      </x:c>
      <x:c r="C5" s="31" t="str">
        <x:v>PRT-A3-001</x:v>
      </x:c>
      <x:c r="D5" s="31" t="str">
        <x:v>A3 Printer Model A</x:v>
      </x:c>
      <x:c r="E5" s="31" t="str">
        <x:v>상해</x:v>
      </x:c>
      <x:c r="F5" s="42" t="n">
        <x:v>120</x:v>
      </x:c>
      <x:c r="G5" s="42" t="n">
        <x:v>10</x:v>
      </x:c>
      <x:c r="H5" s="42" t="n">
        <x:v>35</x:v>
      </x:c>
      <x:c r="I5" s="42" t="n">
        <x:v>20</x:v>
      </x:c>
      <x:c r="J5" s="52" t="n">
        <x:f>MAX(0,F5+G5-H5-I5)</x:f>
        <x:v>75</x:v>
      </x:c>
      <x:c r="K5" s="42" t="n">
        <x:v>10</x:v>
      </x:c>
      <x:c r="L5" s="54" t="n">
        <x:f>IF(K5&gt;0,CEILING(J5/K5,1)*K5,J5)</x:f>
        <x:v>80</x:v>
      </x:c>
      <x:c r="M5" s="54" t="n">
        <x:v>850000</x:v>
      </x:c>
      <x:c r="N5" s="52" t="n">
        <x:f>L5*M5</x:f>
        <x:v>68000000</x:v>
      </x:c>
      <x:c r="O5" s="42" t="n">
        <x:v>100</x:v>
      </x:c>
      <x:c r="P5" s="42" t="n">
        <x:v>90</x:v>
      </x:c>
      <x:c r="Q5" s="56" t="n">
        <x:f>IF(O5=0,0,(L5-O5)/O5)</x:f>
        <x:v>-0.2</x:v>
      </x:c>
      <x:c r="R5" s="56" t="n">
        <x:f>IF(P5=0,0,(L5-P5)/P5)</x:f>
        <x:v>-0.1111111111111111</x:v>
      </x:c>
      <x:c r="S5" s="48" t="str">
        <x:f>IF(AND(Q5&lt;=20%,Q5&gt;=-20%,R5&lt;=30%,R5&gt;=-30%),"OK","예외검토")</x:f>
        <x:v>OK</x:v>
      </x:c>
      <x:c r="T5" s="31" t="str">
        <x:v>-</x:v>
      </x:c>
      <x:c r="U5" s="31" t="str">
        <x:v>-</x:v>
      </x:c>
      <x:c r="V5" s="50" t="str">
        <x:f>IF(S5="OK","-","Flex Rule 또는 입력값 확인")</x:f>
        <x:v>-</x:v>
      </x:c>
    </x:row>
    <x:row r="6">
      <x:c r="A6" s="33" t="str">
        <x:v>기기</x:v>
      </x:c>
      <x:c r="B6" s="34" t="str">
        <x:v>2026-09</x:v>
      </x:c>
      <x:c r="C6" s="34" t="str">
        <x:v>PRT-A4-002</x:v>
      </x:c>
      <x:c r="D6" s="34" t="str">
        <x:v>A4 Printer Model B</x:v>
      </x:c>
      <x:c r="E6" s="34" t="str">
        <x:v>심천</x:v>
      </x:c>
      <x:c r="F6" s="43" t="n">
        <x:v>80</x:v>
      </x:c>
      <x:c r="G6" s="43" t="n">
        <x:v>8</x:v>
      </x:c>
      <x:c r="H6" s="43" t="n">
        <x:v>25</x:v>
      </x:c>
      <x:c r="I6" s="43" t="n">
        <x:v>10</x:v>
      </x:c>
      <x:c r="J6" s="53" t="n">
        <x:f>MAX(0,F6+G6-H6-I6)</x:f>
        <x:v>53</x:v>
      </x:c>
      <x:c r="K6" s="43" t="n">
        <x:v>10</x:v>
      </x:c>
      <x:c r="L6" s="55" t="n">
        <x:f>IF(K6&gt;0,CEILING(J6/K6,1)*K6,J6)</x:f>
        <x:v>60</x:v>
      </x:c>
      <x:c r="M6" s="55" t="n">
        <x:v>520000</x:v>
      </x:c>
      <x:c r="N6" s="53" t="n">
        <x:f>L6*M6</x:f>
        <x:v>31200000</x:v>
      </x:c>
      <x:c r="O6" s="43" t="n">
        <x:v>70</x:v>
      </x:c>
      <x:c r="P6" s="43" t="n">
        <x:v>65</x:v>
      </x:c>
      <x:c r="Q6" s="57" t="n">
        <x:f>IF(O6=0,0,(L6-O6)/O6)</x:f>
        <x:v>-0.14285714285714285</x:v>
      </x:c>
      <x:c r="R6" s="57" t="n">
        <x:f>IF(P6=0,0,(L6-P6)/P6)</x:f>
        <x:v>-0.07692307692307693</x:v>
      </x:c>
      <x:c r="S6" s="49" t="str">
        <x:f>IF(AND(Q6&lt;=20%,Q6&gt;=-20%,R6&lt;=30%,R6&gt;=-30%),"OK","예외검토")</x:f>
        <x:v>OK</x:v>
      </x:c>
      <x:c r="T6" s="34" t="str">
        <x:v>-</x:v>
      </x:c>
      <x:c r="U6" s="34" t="str">
        <x:v>-</x:v>
      </x:c>
      <x:c r="V6" s="51" t="str">
        <x:f>IF(S6="OK","-","Flex Rule 또는 입력값 확인")</x:f>
        <x:v>-</x:v>
      </x:c>
    </x:row>
    <x:row r="7">
      <x:c r="A7" s="33" t="str">
        <x:v>옵션</x:v>
      </x:c>
      <x:c r="B7" s="34" t="str">
        <x:v>2026-09</x:v>
      </x:c>
      <x:c r="C7" s="34" t="str">
        <x:v>OPT-001</x:v>
      </x:c>
      <x:c r="D7" s="34" t="str">
        <x:v>Finisher X</x:v>
      </x:c>
      <x:c r="E7" s="34" t="str">
        <x:v>도쿄</x:v>
      </x:c>
      <x:c r="F7" s="43" t="n">
        <x:v>30</x:v>
      </x:c>
      <x:c r="G7" s="43" t="n">
        <x:v>20</x:v>
      </x:c>
      <x:c r="H7" s="43" t="n">
        <x:v>18</x:v>
      </x:c>
      <x:c r="I7" s="43" t="n">
        <x:v>5</x:v>
      </x:c>
      <x:c r="J7" s="53" t="n">
        <x:f>MAX(0,F7+G7-H7-I7)</x:f>
        <x:v>27</x:v>
      </x:c>
      <x:c r="K7" s="43" t="n">
        <x:v>5</x:v>
      </x:c>
      <x:c r="L7" s="55" t="n">
        <x:f>IF(K7&gt;0,CEILING(J7/K7,1)*K7,J7)</x:f>
        <x:v>30</x:v>
      </x:c>
      <x:c r="M7" s="55" t="n">
        <x:v>120000</x:v>
      </x:c>
      <x:c r="N7" s="53" t="n">
        <x:f>L7*M7</x:f>
        <x:v>3600000</x:v>
      </x:c>
      <x:c r="O7" s="43" t="n">
        <x:v>25</x:v>
      </x:c>
      <x:c r="P7" s="43" t="n">
        <x:v>24</x:v>
      </x:c>
      <x:c r="Q7" s="57" t="n">
        <x:f>IF(O7=0,0,(L7-O7)/O7)</x:f>
        <x:v>0.2</x:v>
      </x:c>
      <x:c r="R7" s="57" t="n">
        <x:f>IF(P7=0,0,(L7-P7)/P7)</x:f>
        <x:v>0.25</x:v>
      </x:c>
      <x:c r="S7" s="49" t="str">
        <x:f>IF(AND(Q7&lt;=20%,Q7&gt;=-20%,R7&lt;=30%,R7&gt;=-30%),"OK","예외검토")</x:f>
        <x:v>OK</x:v>
      </x:c>
      <x:c r="T7" s="34" t="str">
        <x:v>6M</x:v>
      </x:c>
      <x:c r="U7" s="34" t="str">
        <x:v>A장착율 70%×BOM 1</x:v>
      </x:c>
      <x:c r="V7" s="51" t="str">
        <x:f>IF(S7="OK","-","Flex Rule 또는 입력값 확인")</x:f>
        <x:v>-</x:v>
      </x:c>
    </x:row>
    <x:row r="8">
      <x:c r="A8" s="33" t="str">
        <x:v>옵션</x:v>
      </x:c>
      <x:c r="B8" s="34" t="str">
        <x:v>2026-09</x:v>
      </x:c>
      <x:c r="C8" s="34" t="str">
        <x:v>OPT-002</x:v>
      </x:c>
      <x:c r="D8" s="34" t="str">
        <x:v>Common Tray Y</x:v>
      </x:c>
      <x:c r="E8" s="34" t="str">
        <x:v>베트남</x:v>
      </x:c>
      <x:c r="F8" s="43" t="n">
        <x:v>60</x:v>
      </x:c>
      <x:c r="G8" s="43" t="n">
        <x:v>30</x:v>
      </x:c>
      <x:c r="H8" s="43" t="n">
        <x:v>40</x:v>
      </x:c>
      <x:c r="I8" s="43" t="n">
        <x:v>10</x:v>
      </x:c>
      <x:c r="J8" s="53" t="n">
        <x:f>MAX(0,F8+G8-H8-I8)</x:f>
        <x:v>40</x:v>
      </x:c>
      <x:c r="K8" s="43" t="n">
        <x:v>10</x:v>
      </x:c>
      <x:c r="L8" s="55" t="n">
        <x:f>IF(K8&gt;0,CEILING(J8/K8,1)*K8,J8)</x:f>
        <x:v>40</x:v>
      </x:c>
      <x:c r="M8" s="55" t="n">
        <x:v>45000</x:v>
      </x:c>
      <x:c r="N8" s="53" t="n">
        <x:f>L8*M8</x:f>
        <x:v>1800000</x:v>
      </x:c>
      <x:c r="O8" s="43" t="n">
        <x:v>40</x:v>
      </x:c>
      <x:c r="P8" s="43" t="n">
        <x:v>38</x:v>
      </x:c>
      <x:c r="Q8" s="57" t="n">
        <x:f>IF(O8=0,0,(L8-O8)/O8)</x:f>
        <x:v>0</x:v>
      </x:c>
      <x:c r="R8" s="57" t="n">
        <x:f>IF(P8=0,0,(L8-P8)/P8)</x:f>
        <x:v>0.05263157894736842</x:v>
      </x:c>
      <x:c r="S8" s="49" t="str">
        <x:f>IF(AND(Q8&lt;=20%,Q8&gt;=-20%,R8&lt;=30%,R8&gt;=-30%),"OK","예외검토")</x:f>
        <x:v>OK</x:v>
      </x:c>
      <x:c r="T8" s="34" t="str">
        <x:v>3M</x:v>
      </x:c>
      <x:c r="U8" s="34" t="str">
        <x:v>Common 2기종</x:v>
      </x:c>
      <x:c r="V8" s="51" t="str">
        <x:f>IF(S8="OK","-","Flex Rule 또는 입력값 확인")</x:f>
        <x:v>-</x:v>
      </x:c>
    </x:row>
    <x:row r="9">
      <x:c r="A9" s="33" t="str">
        <x:v>부품</x:v>
      </x:c>
      <x:c r="B9" s="34" t="str">
        <x:v>2026-09</x:v>
      </x:c>
      <x:c r="C9" s="34" t="str">
        <x:v>PART-009</x:v>
      </x:c>
      <x:c r="D9" s="34" t="str">
        <x:v>필수 설치 Kit Z</x:v>
      </x:c>
      <x:c r="E9" s="34" t="str">
        <x:v>네덜란드</x:v>
      </x:c>
      <x:c r="F9" s="43" t="n">
        <x:v>20</x:v>
      </x:c>
      <x:c r="G9" s="43" t="n">
        <x:v>15</x:v>
      </x:c>
      <x:c r="H9" s="43" t="n">
        <x:v>8</x:v>
      </x:c>
      <x:c r="I9" s="43" t="n">
        <x:v>0</x:v>
      </x:c>
      <x:c r="J9" s="53" t="n">
        <x:f>MAX(0,F9+G9-H9-I9)</x:f>
        <x:v>27</x:v>
      </x:c>
      <x:c r="K9" s="43" t="n">
        <x:v>10</x:v>
      </x:c>
      <x:c r="L9" s="55" t="n">
        <x:f>IF(K9&gt;0,CEILING(J9/K9,1)*K9,J9)</x:f>
        <x:v>30</x:v>
      </x:c>
      <x:c r="M9" s="55" t="n">
        <x:v>18000</x:v>
      </x:c>
      <x:c r="N9" s="53" t="n">
        <x:f>L9*M9</x:f>
        <x:v>540000</x:v>
      </x:c>
      <x:c r="O9" s="43" t="n">
        <x:v>12</x:v>
      </x:c>
      <x:c r="P9" s="43" t="n">
        <x:v>12</x:v>
      </x:c>
      <x:c r="Q9" s="57" t="n">
        <x:f>IF(O9=0,0,(L9-O9)/O9)</x:f>
        <x:v>1.5</x:v>
      </x:c>
      <x:c r="R9" s="57" t="n">
        <x:f>IF(P9=0,0,(L9-P9)/P9)</x:f>
        <x:v>1.5</x:v>
      </x:c>
      <x:c r="S9" s="49" t="str">
        <x:f>IF(AND(Q9&lt;=20%,Q9&gt;=-20%,R9&lt;=30%,R9&gt;=-30%),"OK","예외검토")</x:f>
        <x:v>예외검토</x:v>
      </x:c>
      <x:c r="T9" s="34" t="str">
        <x:v>12M</x:v>
      </x:c>
      <x:c r="U9" s="34" t="str">
        <x:v>필수품</x:v>
      </x:c>
      <x:c r="V9" s="51" t="str">
        <x:f>IF(S9="OK","-","Flex Rule 또는 입력값 확인")</x:f>
        <x:v>Flex Rule 또는 입력값 확인</x:v>
      </x:c>
    </x:row>
    <x:row r="10">
      <x:c r="A10" s="33" t="str">
        <x:v>소모품</x:v>
      </x:c>
      <x:c r="B10" s="34" t="str">
        <x:v>2026-09</x:v>
      </x:c>
      <x:c r="C10" s="34" t="str">
        <x:v>SUP-101</x:v>
      </x:c>
      <x:c r="D10" s="34" t="str">
        <x:v>Toner Black</x:v>
      </x:c>
      <x:c r="E10" s="34" t="str">
        <x:v>홍콩</x:v>
      </x:c>
      <x:c r="F10" s="43" t="n">
        <x:v>100</x:v>
      </x:c>
      <x:c r="G10" s="43" t="n">
        <x:v>100</x:v>
      </x:c>
      <x:c r="H10" s="43" t="n">
        <x:v>120</x:v>
      </x:c>
      <x:c r="I10" s="43" t="n">
        <x:v>20</x:v>
      </x:c>
      <x:c r="J10" s="53" t="n">
        <x:f>MAX(0,F10+G10-H10-I10)</x:f>
        <x:v>60</x:v>
      </x:c>
      <x:c r="K10" s="43" t="n">
        <x:v>20</x:v>
      </x:c>
      <x:c r="L10" s="55" t="n">
        <x:f>IF(K10&gt;0,CEILING(J10/K10,1)*K10,J10)</x:f>
        <x:v>60</x:v>
      </x:c>
      <x:c r="M10" s="55" t="n">
        <x:v>35000</x:v>
      </x:c>
      <x:c r="N10" s="53" t="n">
        <x:f>L10*M10</x:f>
        <x:v>2100000</x:v>
      </x:c>
      <x:c r="O10" s="43" t="n">
        <x:v>110</x:v>
      </x:c>
      <x:c r="P10" s="43" t="n">
        <x:v>105</x:v>
      </x:c>
      <x:c r="Q10" s="57" t="n">
        <x:f>IF(O10=0,0,(L10-O10)/O10)</x:f>
        <x:v>-0.45454545454545453</x:v>
      </x:c>
      <x:c r="R10" s="57" t="n">
        <x:f>IF(P10=0,0,(L10-P10)/P10)</x:f>
        <x:v>-0.42857142857142855</x:v>
      </x:c>
      <x:c r="S10" s="49" t="str">
        <x:f>IF(AND(Q10&lt;=20%,Q10&gt;=-20%,R10&lt;=30%,R10&gt;=-30%),"OK","예외검토")</x:f>
        <x:v>예외검토</x:v>
      </x:c>
      <x:c r="T10" s="34" t="str">
        <x:v>3M</x:v>
      </x:c>
      <x:c r="U10" s="34" t="str">
        <x:v>평균사용량</x:v>
      </x:c>
      <x:c r="V10" s="51" t="str">
        <x:f>IF(S10="OK","-","Flex Rule 또는 입력값 확인")</x:f>
        <x:v>Flex Rule 또는 입력값 확인</x:v>
      </x:c>
    </x:row>
    <x:row r="12">
      <x:c r="A12" s="58" t="str">
        <x:v>합계 / 검토 요약</x:v>
      </x:c>
      <x:c r="B12" s="58" t="str">
        <x:v>합계 / 검토 요약</x:v>
      </x:c>
      <x:c r="C12" s="58" t="str">
        <x:v>합계 / 검토 요약</x:v>
      </x:c>
      <x:c r="D12" s="58" t="str">
        <x:v>합계 / 검토 요약</x:v>
      </x:c>
      <x:c r="E12" s="58" t="str">
        <x:v>합계 / 검토 요약</x:v>
      </x:c>
      <x:c r="F12" s="58" t="str">
        <x:v>합계 / 검토 요약</x:v>
      </x:c>
      <x:c r="G12" s="58" t="str">
        <x:v>합계 / 검토 요약</x:v>
      </x:c>
      <x:c r="H12" s="58" t="str">
        <x:v>합계 / 검토 요약</x:v>
      </x:c>
      <x:c r="I12" s="58" t="str">
        <x:v>합계 / 검토 요약</x:v>
      </x:c>
      <x:c r="J12" s="62" t="n">
        <x:f>SUM(J5:J10)</x:f>
        <x:v>282</x:v>
      </x:c>
      <x:c r="K12" s="61" t="str"/>
      <x:c r="L12" s="62" t="n">
        <x:f>SUM(L5:L10)</x:f>
        <x:v>300</x:v>
      </x:c>
      <x:c r="M12" s="61" t="str"/>
      <x:c r="N12" s="62" t="n">
        <x:f>SUM(N5:N10)</x:f>
        <x:v>107240000</x:v>
      </x:c>
    </x:row>
  </x:sheetData>
  <x:mergeCells>
    <x:mergeCell ref="A1:V1"/>
    <x:mergeCell ref="A2:V2"/>
    <x:mergeCell ref="A12:I12"/>
  </x:mergeCells>
  <x:dataValidations count="2">
    <x:dataValidation type="list" sqref="A5:A100">
      <x:formula1>"기기,옵션,부품,소모품"</x:formula1>
    </x:dataValidation>
    <x:dataValidation type="list" sqref="S5:S100">
      <x:formula1>"OK,예외검토"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2" hidden="0" customWidth="1"/>
    <x:col min="3" max="3" width="38" hidden="0" customWidth="1"/>
    <x:col min="4" max="4" width="32" hidden="0" customWidth="1"/>
    <x:col min="5" max="5" width="18" hidden="0" customWidth="1"/>
    <x:col min="6" max="6" width="28" hidden="0" customWidth="1"/>
    <x:col min="7" max="7" width="18" hidden="0" customWidth="1"/>
    <x:col min="8" max="8" width="14" hidden="0" customWidth="1"/>
    <x:col min="9" max="9" width="14" hidden="0" customWidth="1"/>
    <x:col min="10" max="10" width="28" hidden="0" customWidth="1"/>
  </x:cols>
  <x:sheetData>
    <x:row r="1" ht="30" customHeight="1">
      <x:c r="A1" s="4" t="str">
        <x:v>08. 시스템 구축을 위한 필수 입력사항</x:v>
      </x:c>
      <x:c r="B1" s="4" t="str">
        <x:v>08. 시스템 구축을 위한 필수 입력사항</x:v>
      </x:c>
      <x:c r="C1" s="4" t="str">
        <x:v>08. 시스템 구축을 위한 필수 입력사항</x:v>
      </x:c>
      <x:c r="D1" s="4" t="str">
        <x:v>08. 시스템 구축을 위한 필수 입력사항</x:v>
      </x:c>
      <x:c r="E1" s="4" t="str">
        <x:v>08. 시스템 구축을 위한 필수 입력사항</x:v>
      </x:c>
      <x:c r="F1" s="4" t="str">
        <x:v>08. 시스템 구축을 위한 필수 입력사항</x:v>
      </x:c>
      <x:c r="G1" s="4" t="str">
        <x:v>08. 시스템 구축을 위한 필수 입력사항</x:v>
      </x:c>
      <x:c r="H1" s="4" t="str">
        <x:v>08. 시스템 구축을 위한 필수 입력사항</x:v>
      </x:c>
      <x:c r="I1" s="4" t="str">
        <x:v>08. 시스템 구축을 위한 필수 입력사항</x:v>
      </x:c>
      <x:c r="J1" s="4" t="str">
        <x:v>08. 시스템 구축을 위한 필수 입력사항</x:v>
      </x:c>
    </x:row>
    <x:row r="2" ht="32" customHeight="1">
      <x:c r="A2" s="8" t="str">
        <x:v>업무 담당자 인터뷰 또는 자료 검토 후 노란색 입력 열을 채우면 시스템 요구사항 정의서로 활용할 수 있습니다.</x:v>
      </x:c>
      <x:c r="B2" s="8" t="str">
        <x:v>업무 담당자 인터뷰 또는 자료 검토 후 노란색 입력 열을 채우면 시스템 요구사항 정의서로 활용할 수 있습니다.</x:v>
      </x:c>
      <x:c r="C2" s="8" t="str">
        <x:v>업무 담당자 인터뷰 또는 자료 검토 후 노란색 입력 열을 채우면 시스템 요구사항 정의서로 활용할 수 있습니다.</x:v>
      </x:c>
      <x:c r="D2" s="8" t="str">
        <x:v>업무 담당자 인터뷰 또는 자료 검토 후 노란색 입력 열을 채우면 시스템 요구사항 정의서로 활용할 수 있습니다.</x:v>
      </x:c>
      <x:c r="E2" s="8" t="str">
        <x:v>업무 담당자 인터뷰 또는 자료 검토 후 노란색 입력 열을 채우면 시스템 요구사항 정의서로 활용할 수 있습니다.</x:v>
      </x:c>
      <x:c r="F2" s="8" t="str">
        <x:v>업무 담당자 인터뷰 또는 자료 검토 후 노란색 입력 열을 채우면 시스템 요구사항 정의서로 활용할 수 있습니다.</x:v>
      </x:c>
      <x:c r="G2" s="8" t="str">
        <x:v>업무 담당자 인터뷰 또는 자료 검토 후 노란색 입력 열을 채우면 시스템 요구사항 정의서로 활용할 수 있습니다.</x:v>
      </x:c>
      <x:c r="H2" s="8" t="str">
        <x:v>업무 담당자 인터뷰 또는 자료 검토 후 노란색 입력 열을 채우면 시스템 요구사항 정의서로 활용할 수 있습니다.</x:v>
      </x:c>
      <x:c r="I2" s="8" t="str">
        <x:v>업무 담당자 인터뷰 또는 자료 검토 후 노란색 입력 열을 채우면 시스템 요구사항 정의서로 활용할 수 있습니다.</x:v>
      </x:c>
      <x:c r="J2" s="8" t="str">
        <x:v>업무 담당자 인터뷰 또는 자료 검토 후 노란색 입력 열을 채우면 시스템 요구사항 정의서로 활용할 수 있습니다.</x:v>
      </x:c>
    </x:row>
    <x:row r="4" ht="28" customHeight="1">
      <x:c r="A4" s="17" t="str">
        <x:v>분류</x:v>
      </x:c>
      <x:c r="B4" s="17" t="str">
        <x:v>확인 항목</x:v>
      </x:c>
      <x:c r="C4" s="17" t="str">
        <x:v>현재 이해/기본값</x:v>
      </x:c>
      <x:c r="D4" s="17" t="str">
        <x:v>담당자 입력값</x:v>
      </x:c>
      <x:c r="E4" s="17" t="str">
        <x:v>단위·코드</x:v>
      </x:c>
      <x:c r="F4" s="17" t="str">
        <x:v>근거 자료/파일</x:v>
      </x:c>
      <x:c r="G4" s="17" t="str">
        <x:v>데이터 오너</x:v>
      </x:c>
      <x:c r="H4" s="17" t="str">
        <x:v>확정 상태</x:v>
      </x:c>
      <x:c r="I4" s="17" t="str">
        <x:v>확정일</x:v>
      </x:c>
      <x:c r="J4" s="17" t="str">
        <x:v>비고</x:v>
      </x:c>
    </x:row>
    <x:row r="5">
      <x:c r="A5" s="30" t="str">
        <x:v>수요</x:v>
      </x:c>
      <x:c r="B5" s="31" t="str">
        <x:v>OL 파일 형식·제출주기</x:v>
      </x:c>
      <x:c r="C5" s="31" t="str">
        <x:v>영업부서별 월간 취합</x:v>
      </x:c>
      <x:c r="D5" s="42" t="str"/>
      <x:c r="E5" s="42" t="str">
        <x:v>파일명·주기</x:v>
      </x:c>
      <x:c r="F5" s="42" t="str"/>
      <x:c r="G5" s="31" t="str">
        <x:v>영업</x:v>
      </x:c>
      <x:c r="H5" s="42" t="str">
        <x:v>미확정</x:v>
      </x:c>
      <x:c r="I5" s="42" t="str"/>
      <x:c r="J5" s="63" t="str"/>
    </x:row>
    <x:row r="6">
      <x:c r="A6" s="33" t="str">
        <x:v>수요</x:v>
      </x:c>
      <x:c r="B6" s="34" t="str">
        <x:v>OL·SFDC·수급회의 우선순위</x:v>
      </x:c>
      <x:c r="C6" s="34" t="str">
        <x:v>수급회의 결과를 최종 기준</x:v>
      </x:c>
      <x:c r="D6" s="43" t="str"/>
      <x:c r="E6" s="43" t="str">
        <x:v>우선순위</x:v>
      </x:c>
      <x:c r="F6" s="43" t="str"/>
      <x:c r="G6" s="34" t="str">
        <x:v>수급</x:v>
      </x:c>
      <x:c r="H6" s="43" t="str">
        <x:v>미확정</x:v>
      </x:c>
      <x:c r="I6" s="43" t="str"/>
      <x:c r="J6" s="64" t="str"/>
    </x:row>
    <x:row r="7">
      <x:c r="A7" s="33" t="str">
        <x:v>수요</x:v>
      </x:c>
      <x:c r="B7" s="34" t="str">
        <x:v>SFDC 반영 기준</x:v>
      </x:c>
      <x:c r="C7" s="34" t="str">
        <x:v>중요 파이프라인 별도 확인</x:v>
      </x:c>
      <x:c r="D7" s="43" t="str"/>
      <x:c r="E7" s="43" t="str">
        <x:v>확률/승인 기준</x:v>
      </x:c>
      <x:c r="F7" s="43" t="str"/>
      <x:c r="G7" s="34" t="str">
        <x:v>영업</x:v>
      </x:c>
      <x:c r="H7" s="43" t="str">
        <x:v>미확정</x:v>
      </x:c>
      <x:c r="I7" s="43" t="str"/>
      <x:c r="J7" s="64" t="str"/>
    </x:row>
    <x:row r="8">
      <x:c r="A8" s="33" t="str">
        <x:v>수요</x:v>
      </x:c>
      <x:c r="B8" s="34" t="str">
        <x:v>Bulk-deal 반영 기준</x:v>
      </x:c>
      <x:c r="C8" s="34" t="str">
        <x:v>수급회의에서 선확보 여부 결정</x:v>
      </x:c>
      <x:c r="D8" s="43" t="str"/>
      <x:c r="E8" s="43" t="str">
        <x:v>확정/조건부/참고</x:v>
      </x:c>
      <x:c r="F8" s="43" t="str"/>
      <x:c r="G8" s="34" t="str">
        <x:v>수급/영업</x:v>
      </x:c>
      <x:c r="H8" s="43" t="str">
        <x:v>미확정</x:v>
      </x:c>
      <x:c r="I8" s="43" t="str"/>
      <x:c r="J8" s="64" t="str"/>
    </x:row>
    <x:row r="9">
      <x:c r="A9" s="33" t="str">
        <x:v>수요</x:v>
      </x:c>
      <x:c r="B9" s="34" t="str">
        <x:v>조건부 수요 반영률</x:v>
      </x:c>
      <x:c r="C9" s="34" t="str">
        <x:v>수급회의 결정</x:v>
      </x:c>
      <x:c r="D9" s="43" t="str"/>
      <x:c r="E9" s="43" t="str">
        <x:v>%</x:v>
      </x:c>
      <x:c r="F9" s="43" t="str"/>
      <x:c r="G9" s="34" t="str">
        <x:v>수급</x:v>
      </x:c>
      <x:c r="H9" s="43" t="str">
        <x:v>미확정</x:v>
      </x:c>
      <x:c r="I9" s="43" t="str"/>
      <x:c r="J9" s="64" t="str"/>
    </x:row>
    <x:row r="10">
      <x:c r="A10" s="33" t="str">
        <x:v>수요</x:v>
      </x:c>
      <x:c r="B10" s="34" t="str">
        <x:v>수요 확정 후 변경 권한</x:v>
      </x:c>
      <x:c r="C10" s="34" t="str">
        <x:v>수급 담당 및 승인자 확인 필요</x:v>
      </x:c>
      <x:c r="D10" s="43" t="str"/>
      <x:c r="E10" s="43" t="str">
        <x:v>조직/권한</x:v>
      </x:c>
      <x:c r="F10" s="43" t="str"/>
      <x:c r="G10" s="34" t="str">
        <x:v>수급</x:v>
      </x:c>
      <x:c r="H10" s="43" t="str">
        <x:v>미확정</x:v>
      </x:c>
      <x:c r="I10" s="43" t="str"/>
      <x:c r="J10" s="64" t="str"/>
    </x:row>
    <x:row r="11">
      <x:c r="A11" s="33" t="str">
        <x:v>재고</x:v>
      </x:c>
      <x:c r="B11" s="34" t="str">
        <x:v>가용재고 정의</x:v>
      </x:c>
      <x:c r="C11" s="34" t="str">
        <x:v>정상 사용 가능 재고만 반영</x:v>
      </x:c>
      <x:c r="D11" s="43" t="str"/>
      <x:c r="E11" s="43" t="str">
        <x:v>상태코드</x:v>
      </x:c>
      <x:c r="F11" s="43" t="str"/>
      <x:c r="G11" s="34" t="str">
        <x:v>물류</x:v>
      </x:c>
      <x:c r="H11" s="43" t="str">
        <x:v>미확정</x:v>
      </x:c>
      <x:c r="I11" s="43" t="str"/>
      <x:c r="J11" s="64" t="str"/>
    </x:row>
    <x:row r="12">
      <x:c r="A12" s="33" t="str">
        <x:v>재고</x:v>
      </x:c>
      <x:c r="B12" s="34" t="str">
        <x:v>보류·출고대기·불용재고 처리</x:v>
      </x:c>
      <x:c r="C12" s="34" t="str">
        <x:v>계산에서 제외 또는 별도 관리</x:v>
      </x:c>
      <x:c r="D12" s="43" t="str"/>
      <x:c r="E12" s="43" t="str">
        <x:v>상태별 규칙</x:v>
      </x:c>
      <x:c r="F12" s="43" t="str"/>
      <x:c r="G12" s="34" t="str">
        <x:v>물류</x:v>
      </x:c>
      <x:c r="H12" s="43" t="str">
        <x:v>미확정</x:v>
      </x:c>
      <x:c r="I12" s="43" t="str"/>
      <x:c r="J12" s="64" t="str"/>
    </x:row>
    <x:row r="13">
      <x:c r="A13" s="33" t="str">
        <x:v>구매</x:v>
      </x:c>
      <x:c r="B13" s="34" t="str">
        <x:v>Open PO 반영 상태</x:v>
      </x:c>
      <x:c r="C13" s="34" t="str">
        <x:v>필요월도 전 실제 입고 가능분만 반영</x:v>
      </x:c>
      <x:c r="D13" s="43" t="str"/>
      <x:c r="E13" s="43" t="str">
        <x:v>상태코드</x:v>
      </x:c>
      <x:c r="F13" s="43" t="str"/>
      <x:c r="G13" s="34" t="str">
        <x:v>구매</x:v>
      </x:c>
      <x:c r="H13" s="43" t="str">
        <x:v>미확정</x:v>
      </x:c>
      <x:c r="I13" s="43" t="str"/>
      <x:c r="J13" s="64" t="str"/>
    </x:row>
    <x:row r="14">
      <x:c r="A14" s="33" t="str">
        <x:v>구매</x:v>
      </x:c>
      <x:c r="B14" s="34" t="str">
        <x:v>Supplier별 Lead Time</x:v>
      </x:c>
      <x:c r="C14" s="34" t="str">
        <x:v>상해·심천·홍콩·베트남·도쿄·요코하마·나고야·네덜란드</x:v>
      </x:c>
      <x:c r="D14" s="43" t="str"/>
      <x:c r="E14" s="43" t="str">
        <x:v>일수</x:v>
      </x:c>
      <x:c r="F14" s="43" t="str"/>
      <x:c r="G14" s="34" t="str">
        <x:v>구매</x:v>
      </x:c>
      <x:c r="H14" s="43" t="str">
        <x:v>미확정</x:v>
      </x:c>
      <x:c r="I14" s="43" t="str"/>
      <x:c r="J14" s="64" t="str"/>
    </x:row>
    <x:row r="15">
      <x:c r="A15" s="33" t="str">
        <x:v>구매</x:v>
      </x:c>
      <x:c r="B15" s="34" t="str">
        <x:v>Lead Time 기준 구간</x:v>
      </x:c>
      <x:c r="C15" s="34" t="str">
        <x:v>발주~한국도착 또는 창고입고 기준 확정 필요</x:v>
      </x:c>
      <x:c r="D15" s="43" t="str"/>
      <x:c r="E15" s="43" t="str">
        <x:v>구간</x:v>
      </x:c>
      <x:c r="F15" s="43" t="str"/>
      <x:c r="G15" s="34" t="str">
        <x:v>구매/물류</x:v>
      </x:c>
      <x:c r="H15" s="43" t="str">
        <x:v>미확정</x:v>
      </x:c>
      <x:c r="I15" s="43" t="str"/>
      <x:c r="J15" s="64" t="str"/>
    </x:row>
    <x:row r="16">
      <x:c r="A16" s="33" t="str">
        <x:v>구매</x:v>
      </x:c>
      <x:c r="B16" s="34" t="str">
        <x:v>운송·통관기간 포함 여부</x:v>
      </x:c>
      <x:c r="C16" s="34" t="str">
        <x:v>Lead Time에 포함 여부 확정 필요</x:v>
      </x:c>
      <x:c r="D16" s="43" t="str"/>
      <x:c r="E16" s="43" t="str">
        <x:v>Y/N</x:v>
      </x:c>
      <x:c r="F16" s="43" t="str"/>
      <x:c r="G16" s="34" t="str">
        <x:v>구매/물류</x:v>
      </x:c>
      <x:c r="H16" s="43" t="str">
        <x:v>미확정</x:v>
      </x:c>
      <x:c r="I16" s="43" t="str"/>
      <x:c r="J16" s="64" t="str"/>
    </x:row>
    <x:row r="17">
      <x:c r="A17" s="33" t="str">
        <x:v>Flex</x:v>
      </x:c>
      <x:c r="B17" s="34" t="str">
        <x:v>전월 OL 허용범위</x:v>
      </x:c>
      <x:c r="C17" s="34" t="str">
        <x:v>±20%</x:v>
      </x:c>
      <x:c r="D17" s="43" t="str"/>
      <x:c r="E17" s="43" t="str">
        <x:v>%</x:v>
      </x:c>
      <x:c r="F17" s="43" t="str"/>
      <x:c r="G17" s="34" t="str">
        <x:v>구매</x:v>
      </x:c>
      <x:c r="H17" s="43" t="str">
        <x:v>초안</x:v>
      </x:c>
      <x:c r="I17" s="43" t="str"/>
      <x:c r="J17" s="64" t="str"/>
    </x:row>
    <x:row r="18">
      <x:c r="A18" s="33" t="str">
        <x:v>Flex</x:v>
      </x:c>
      <x:c r="B18" s="34" t="str">
        <x:v>전전월 OL 허용범위</x:v>
      </x:c>
      <x:c r="C18" s="34" t="str">
        <x:v>±30%</x:v>
      </x:c>
      <x:c r="D18" s="43" t="str"/>
      <x:c r="E18" s="43" t="str">
        <x:v>%</x:v>
      </x:c>
      <x:c r="F18" s="43" t="str"/>
      <x:c r="G18" s="34" t="str">
        <x:v>구매</x:v>
      </x:c>
      <x:c r="H18" s="43" t="str">
        <x:v>초안</x:v>
      </x:c>
      <x:c r="I18" s="43" t="str"/>
      <x:c r="J18" s="64" t="str"/>
    </x:row>
    <x:row r="19">
      <x:c r="A19" s="33" t="str">
        <x:v>Flex</x:v>
      </x:c>
      <x:c r="B19" s="34" t="str">
        <x:v>Flex 적용 순서</x:v>
      </x:c>
      <x:c r="C19" s="34" t="str">
        <x:v>MOQ 전/후 적용 여부 확정 필요</x:v>
      </x:c>
      <x:c r="D19" s="43" t="str"/>
      <x:c r="E19" s="43" t="str">
        <x:v>계산순서</x:v>
      </x:c>
      <x:c r="F19" s="43" t="str"/>
      <x:c r="G19" s="34" t="str">
        <x:v>수급/구매</x:v>
      </x:c>
      <x:c r="H19" s="43" t="str">
        <x:v>미확정</x:v>
      </x:c>
      <x:c r="I19" s="43" t="str"/>
      <x:c r="J19" s="64" t="str"/>
    </x:row>
    <x:row r="20">
      <x:c r="A20" s="33" t="str">
        <x:v>Flex</x:v>
      </x:c>
      <x:c r="B20" s="34" t="str">
        <x:v>Flex 초과 처리</x:v>
      </x:c>
      <x:c r="C20" s="34" t="str">
        <x:v>경고·차단·예외승인 중 선택</x:v>
      </x:c>
      <x:c r="D20" s="43" t="str"/>
      <x:c r="E20" s="43" t="str">
        <x:v>처리유형</x:v>
      </x:c>
      <x:c r="F20" s="43" t="str"/>
      <x:c r="G20" s="34" t="str">
        <x:v>수급/구매</x:v>
      </x:c>
      <x:c r="H20" s="43" t="str">
        <x:v>미확정</x:v>
      </x:c>
      <x:c r="I20" s="43" t="str"/>
      <x:c r="J20" s="64" t="str"/>
    </x:row>
    <x:row r="21">
      <x:c r="A21" s="33" t="str">
        <x:v>기기</x:v>
      </x:c>
      <x:c r="B21" s="34" t="str">
        <x:v>목표 기말재고·안전재고</x:v>
      </x:c>
      <x:c r="C21" s="34" t="str">
        <x:v>기종별 기준 필요</x:v>
      </x:c>
      <x:c r="D21" s="43" t="str"/>
      <x:c r="E21" s="43" t="str">
        <x:v>수량/개월</x:v>
      </x:c>
      <x:c r="F21" s="43" t="str"/>
      <x:c r="G21" s="34" t="str">
        <x:v>수급</x:v>
      </x:c>
      <x:c r="H21" s="43" t="str">
        <x:v>미확정</x:v>
      </x:c>
      <x:c r="I21" s="43" t="str"/>
      <x:c r="J21" s="64" t="str"/>
    </x:row>
    <x:row r="22">
      <x:c r="A22" s="33" t="str">
        <x:v>옵션</x:v>
      </x:c>
      <x:c r="B22" s="34" t="str">
        <x:v>장착율 기준기간</x:v>
      </x:c>
      <x:c r="C22" s="34" t="str">
        <x:v>3/6/12개월 또는 수동 입력</x:v>
      </x:c>
      <x:c r="D22" s="43" t="str"/>
      <x:c r="E22" s="43" t="str">
        <x:v>기간</x:v>
      </x:c>
      <x:c r="F22" s="43" t="str"/>
      <x:c r="G22" s="34" t="str">
        <x:v>수급/영업</x:v>
      </x:c>
      <x:c r="H22" s="43" t="str">
        <x:v>미확정</x:v>
      </x:c>
      <x:c r="I22" s="43" t="str"/>
      <x:c r="J22" s="64" t="str"/>
    </x:row>
    <x:row r="23">
      <x:c r="A23" s="33" t="str">
        <x:v>옵션</x:v>
      </x:c>
      <x:c r="B23" s="34" t="str">
        <x:v>평균 사용량 적용 기준</x:v>
      </x:c>
      <x:c r="C23" s="34" t="str">
        <x:v>품목별 3/6/12개월</x:v>
      </x:c>
      <x:c r="D23" s="43" t="str"/>
      <x:c r="E23" s="43" t="str">
        <x:v>기간</x:v>
      </x:c>
      <x:c r="F23" s="43" t="str"/>
      <x:c r="G23" s="34" t="str">
        <x:v>수급</x:v>
      </x:c>
      <x:c r="H23" s="43" t="str">
        <x:v>미확정</x:v>
      </x:c>
      <x:c r="I23" s="43" t="str"/>
      <x:c r="J23" s="64" t="str"/>
    </x:row>
    <x:row r="24">
      <x:c r="A24" s="33" t="str">
        <x:v>옵션</x:v>
      </x:c>
      <x:c r="B24" s="34" t="str">
        <x:v>장착수요와 평균사용량 중복 여부</x:v>
      </x:c>
      <x:c r="C24" s="34" t="str">
        <x:v>품목유형별 계산방식 필요</x:v>
      </x:c>
      <x:c r="D24" s="43" t="str"/>
      <x:c r="E24" s="43" t="str">
        <x:v>규칙</x:v>
      </x:c>
      <x:c r="F24" s="43" t="str"/>
      <x:c r="G24" s="34" t="str">
        <x:v>수급</x:v>
      </x:c>
      <x:c r="H24" s="43" t="str">
        <x:v>미확정</x:v>
      </x:c>
      <x:c r="I24" s="43" t="str"/>
      <x:c r="J24" s="64" t="str"/>
    </x:row>
    <x:row r="25">
      <x:c r="A25" s="33" t="str">
        <x:v>옵션</x:v>
      </x:c>
      <x:c r="B25" s="34" t="str">
        <x:v>필수 옵션 처리</x:v>
      </x:c>
      <x:c r="C25" s="34" t="str">
        <x:v>BOM 또는 100% 반영</x:v>
      </x:c>
      <x:c r="D25" s="43" t="str"/>
      <x:c r="E25" s="43" t="str">
        <x:v>규칙</x:v>
      </x:c>
      <x:c r="F25" s="43" t="str"/>
      <x:c r="G25" s="34" t="str">
        <x:v>마스터/수급</x:v>
      </x:c>
      <x:c r="H25" s="43" t="str">
        <x:v>미확정</x:v>
      </x:c>
      <x:c r="I25" s="43" t="str"/>
      <x:c r="J25" s="64" t="str"/>
    </x:row>
    <x:row r="26">
      <x:c r="A26" s="33" t="str">
        <x:v>옵션</x:v>
      </x:c>
      <x:c r="B26" s="34" t="str">
        <x:v>Common품 통합 기준</x:v>
      </x:c>
      <x:c r="C26" s="34" t="str">
        <x:v>품목코드 기준 합산</x:v>
      </x:c>
      <x:c r="D26" s="43" t="str"/>
      <x:c r="E26" s="43" t="str">
        <x:v>키/관계</x:v>
      </x:c>
      <x:c r="F26" s="43" t="str"/>
      <x:c r="G26" s="34" t="str">
        <x:v>마스터</x:v>
      </x:c>
      <x:c r="H26" s="43" t="str">
        <x:v>미확정</x:v>
      </x:c>
      <x:c r="I26" s="43" t="str"/>
      <x:c r="J26" s="64" t="str"/>
    </x:row>
    <x:row r="27">
      <x:c r="A27" s="33" t="str">
        <x:v>단위</x:v>
      </x:c>
      <x:c r="B27" s="34" t="str">
        <x:v>품목별 수량 단위</x:v>
      </x:c>
      <x:c r="C27" s="34" t="str">
        <x:v>EA/SET/BOX 등</x:v>
      </x:c>
      <x:c r="D27" s="43" t="str"/>
      <x:c r="E27" s="43" t="str">
        <x:v>단위</x:v>
      </x:c>
      <x:c r="F27" s="43" t="str"/>
      <x:c r="G27" s="34" t="str">
        <x:v>마스터</x:v>
      </x:c>
      <x:c r="H27" s="43" t="str">
        <x:v>미확정</x:v>
      </x:c>
      <x:c r="I27" s="43" t="str"/>
      <x:c r="J27" s="64" t="str"/>
    </x:row>
    <x:row r="28">
      <x:c r="A28" s="33" t="str">
        <x:v>단위</x:v>
      </x:c>
      <x:c r="B28" s="34" t="str">
        <x:v>MOQ·발주단위</x:v>
      </x:c>
      <x:c r="C28" s="34" t="str">
        <x:v>품목·Supplier별 관리</x:v>
      </x:c>
      <x:c r="D28" s="43" t="str"/>
      <x:c r="E28" s="43" t="str">
        <x:v>수량</x:v>
      </x:c>
      <x:c r="F28" s="43" t="str"/>
      <x:c r="G28" s="34" t="str">
        <x:v>구매</x:v>
      </x:c>
      <x:c r="H28" s="43" t="str">
        <x:v>미확정</x:v>
      </x:c>
      <x:c r="I28" s="43" t="str"/>
      <x:c r="J28" s="64" t="str"/>
    </x:row>
    <x:row r="29">
      <x:c r="A29" s="33" t="str">
        <x:v>금액</x:v>
      </x:c>
      <x:c r="B29" s="34" t="str">
        <x:v>단가·통화·환율 기준</x:v>
      </x:c>
      <x:c r="C29" s="34" t="str">
        <x:v>발주금액 산식 확정 필요</x:v>
      </x:c>
      <x:c r="D29" s="43" t="str"/>
      <x:c r="E29" s="43" t="str">
        <x:v>통화/기준일</x:v>
      </x:c>
      <x:c r="F29" s="43" t="str"/>
      <x:c r="G29" s="34" t="str">
        <x:v>구매/재무</x:v>
      </x:c>
      <x:c r="H29" s="43" t="str">
        <x:v>미확정</x:v>
      </x:c>
      <x:c r="I29" s="43" t="str"/>
      <x:c r="J29" s="64" t="str"/>
    </x:row>
    <x:row r="30">
      <x:c r="A30" s="33" t="str">
        <x:v>금액</x:v>
      </x:c>
      <x:c r="B30" s="34" t="str">
        <x:v>운송비·관세·부가세 포함 여부</x:v>
      </x:c>
      <x:c r="C30" s="34" t="str">
        <x:v>총 발주금액 기준 확정 필요</x:v>
      </x:c>
      <x:c r="D30" s="43" t="str"/>
      <x:c r="E30" s="43" t="str">
        <x:v>Y/N</x:v>
      </x:c>
      <x:c r="F30" s="43" t="str"/>
      <x:c r="G30" s="34" t="str">
        <x:v>재무</x:v>
      </x:c>
      <x:c r="H30" s="43" t="str">
        <x:v>미확정</x:v>
      </x:c>
      <x:c r="I30" s="43" t="str"/>
      <x:c r="J30" s="64" t="str"/>
    </x:row>
    <x:row r="31">
      <x:c r="A31" s="33" t="str">
        <x:v>승인</x:v>
      </x:c>
      <x:c r="B31" s="34" t="str">
        <x:v>사장 보고·승인 기준</x:v>
      </x:c>
      <x:c r="C31" s="34" t="str">
        <x:v>금액 또는 품목별 기준 필요</x:v>
      </x:c>
      <x:c r="D31" s="43" t="str"/>
      <x:c r="E31" s="43" t="str">
        <x:v>금액/단계</x:v>
      </x:c>
      <x:c r="F31" s="43" t="str"/>
      <x:c r="G31" s="34" t="str">
        <x:v>관리자</x:v>
      </x:c>
      <x:c r="H31" s="43" t="str">
        <x:v>미확정</x:v>
      </x:c>
      <x:c r="I31" s="43" t="str"/>
      <x:c r="J31" s="64" t="str"/>
    </x:row>
    <x:row r="32">
      <x:c r="A32" s="33" t="str">
        <x:v>승인</x:v>
      </x:c>
      <x:c r="B32" s="34" t="str">
        <x:v>승인 후 변경 처리</x:v>
      </x:c>
      <x:c r="C32" s="34" t="str">
        <x:v>재승인 필요 여부</x:v>
      </x:c>
      <x:c r="D32" s="43" t="str"/>
      <x:c r="E32" s="43" t="str">
        <x:v>Y/N</x:v>
      </x:c>
      <x:c r="F32" s="43" t="str"/>
      <x:c r="G32" s="34" t="str">
        <x:v>관리자</x:v>
      </x:c>
      <x:c r="H32" s="43" t="str">
        <x:v>미확정</x:v>
      </x:c>
      <x:c r="I32" s="43" t="str"/>
      <x:c r="J32" s="64" t="str"/>
    </x:row>
    <x:row r="33">
      <x:c r="A33" s="33" t="str">
        <x:v>연계</x:v>
      </x:c>
      <x:c r="B33" s="34" t="str">
        <x:v>FX-LIVE 연계 방식</x:v>
      </x:c>
      <x:c r="C33" s="34" t="str">
        <x:v>직접입력/파일업로드/API</x:v>
      </x:c>
      <x:c r="D33" s="43" t="str"/>
      <x:c r="E33" s="43" t="str">
        <x:v>방식</x:v>
      </x:c>
      <x:c r="F33" s="43" t="str"/>
      <x:c r="G33" s="34" t="str">
        <x:v>IT/수급</x:v>
      </x:c>
      <x:c r="H33" s="43" t="str">
        <x:v>미확정</x:v>
      </x:c>
      <x:c r="I33" s="43" t="str"/>
      <x:c r="J33" s="64" t="str"/>
    </x:row>
    <x:row r="34">
      <x:c r="A34" s="33" t="str">
        <x:v>연계</x:v>
      </x:c>
      <x:c r="B34" s="34" t="str">
        <x:v>입력 결과 검증 방식</x:v>
      </x:c>
      <x:c r="C34" s="34" t="str">
        <x:v>승인본과 수량·금액·품목 대사</x:v>
      </x:c>
      <x:c r="D34" s="43" t="str"/>
      <x:c r="E34" s="43" t="str">
        <x:v>검증규칙</x:v>
      </x:c>
      <x:c r="F34" s="43" t="str"/>
      <x:c r="G34" s="34" t="str">
        <x:v>IT/수급</x:v>
      </x:c>
      <x:c r="H34" s="43" t="str">
        <x:v>미확정</x:v>
      </x:c>
      <x:c r="I34" s="43" t="str"/>
      <x:c r="J34" s="64" t="str"/>
    </x:row>
    <x:row r="35">
      <x:c r="A35" s="33" t="str">
        <x:v>입고</x:v>
      </x:c>
      <x:c r="B35" s="34" t="str">
        <x:v>선적·통관·입고 원천시스템</x:v>
      </x:c>
      <x:c r="C35" s="34" t="str">
        <x:v>구매·물류·ERP 확인 필요</x:v>
      </x:c>
      <x:c r="D35" s="43" t="str"/>
      <x:c r="E35" s="43" t="str">
        <x:v>시스템명</x:v>
      </x:c>
      <x:c r="F35" s="43" t="str"/>
      <x:c r="G35" s="34" t="str">
        <x:v>구매/물류</x:v>
      </x:c>
      <x:c r="H35" s="43" t="str">
        <x:v>미확정</x:v>
      </x:c>
      <x:c r="I35" s="43" t="str"/>
      <x:c r="J35" s="64" t="str"/>
    </x:row>
    <x:row r="36">
      <x:c r="A36" s="33" t="str">
        <x:v>지급</x:v>
      </x:c>
      <x:c r="B36" s="34" t="str">
        <x:v>PO Match 허용오차</x:v>
      </x:c>
      <x:c r="C36" s="34" t="str">
        <x:v>수량·금액 차이 허용범위</x:v>
      </x:c>
      <x:c r="D36" s="43" t="str"/>
      <x:c r="E36" s="43" t="str">
        <x:v>수량/금액</x:v>
      </x:c>
      <x:c r="F36" s="43" t="str"/>
      <x:c r="G36" s="34" t="str">
        <x:v>재무</x:v>
      </x:c>
      <x:c r="H36" s="43" t="str">
        <x:v>미확정</x:v>
      </x:c>
      <x:c r="I36" s="43" t="str"/>
      <x:c r="J36" s="64" t="str"/>
    </x:row>
  </x:sheetData>
  <x:mergeCells>
    <x:mergeCell ref="A1:J1"/>
    <x:mergeCell ref="A2:J2"/>
  </x:mergeCells>
  <x:dataValidations count="1">
    <x:dataValidation type="list" sqref="H5:H36">
      <x:formula1>"미확정,초안,확정,보류"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4" hidden="0" customWidth="1"/>
    <x:col min="3" max="3" width="26" hidden="0" customWidth="1"/>
    <x:col min="4" max="4" width="14" hidden="0" customWidth="1"/>
    <x:col min="5" max="5" width="28" hidden="0" customWidth="1"/>
    <x:col min="6" max="6" width="16" hidden="0" customWidth="1"/>
    <x:col min="7" max="7" width="18" hidden="0" customWidth="1"/>
    <x:col min="8" max="8" width="34" hidden="0" customWidth="1"/>
  </x:cols>
  <x:sheetData>
    <x:row r="1" ht="30" customHeight="1">
      <x:c r="A1" s="4" t="str">
        <x:v>09. 시스템 분석용 샘플자료 수집 체크리스트</x:v>
      </x:c>
      <x:c r="B1" s="4" t="str">
        <x:v>09. 시스템 분석용 샘플자료 수집 체크리스트</x:v>
      </x:c>
      <x:c r="C1" s="4" t="str">
        <x:v>09. 시스템 분석용 샘플자료 수집 체크리스트</x:v>
      </x:c>
      <x:c r="D1" s="4" t="str">
        <x:v>09. 시스템 분석용 샘플자료 수집 체크리스트</x:v>
      </x:c>
      <x:c r="E1" s="4" t="str">
        <x:v>09. 시스템 분석용 샘플자료 수집 체크리스트</x:v>
      </x:c>
      <x:c r="F1" s="4" t="str">
        <x:v>09. 시스템 분석용 샘플자료 수집 체크리스트</x:v>
      </x:c>
      <x:c r="G1" s="4" t="str">
        <x:v>09. 시스템 분석용 샘플자료 수집 체크리스트</x:v>
      </x:c>
      <x:c r="H1" s="4" t="str">
        <x:v>09. 시스템 분석용 샘플자료 수집 체크리스트</x:v>
      </x:c>
    </x:row>
    <x:row r="2" ht="32" customHeight="1">
      <x:c r="A2" s="8" t="str">
        <x:v>가능하면 동일한 월도의 자료를 한 사이클로 수집합니다. 예: OL → 수급회의 확정수요 → 재고/Open PO → 계산 → 보고 → FX-LIVE → 입고/Invoice.</x:v>
      </x:c>
      <x:c r="B2" s="8" t="str">
        <x:v>가능하면 동일한 월도의 자료를 한 사이클로 수집합니다. 예: OL → 수급회의 확정수요 → 재고/Open PO → 계산 → 보고 → FX-LIVE → 입고/Invoice.</x:v>
      </x:c>
      <x:c r="C2" s="8" t="str">
        <x:v>가능하면 동일한 월도의 자료를 한 사이클로 수집합니다. 예: OL → 수급회의 확정수요 → 재고/Open PO → 계산 → 보고 → FX-LIVE → 입고/Invoice.</x:v>
      </x:c>
      <x:c r="D2" s="8" t="str">
        <x:v>가능하면 동일한 월도의 자료를 한 사이클로 수집합니다. 예: OL → 수급회의 확정수요 → 재고/Open PO → 계산 → 보고 → FX-LIVE → 입고/Invoice.</x:v>
      </x:c>
      <x:c r="E2" s="8" t="str">
        <x:v>가능하면 동일한 월도의 자료를 한 사이클로 수집합니다. 예: OL → 수급회의 확정수요 → 재고/Open PO → 계산 → 보고 → FX-LIVE → 입고/Invoice.</x:v>
      </x:c>
      <x:c r="F2" s="8" t="str">
        <x:v>가능하면 동일한 월도의 자료를 한 사이클로 수집합니다. 예: OL → 수급회의 확정수요 → 재고/Open PO → 계산 → 보고 → FX-LIVE → 입고/Invoice.</x:v>
      </x:c>
      <x:c r="G2" s="8" t="str">
        <x:v>가능하면 동일한 월도의 자료를 한 사이클로 수집합니다. 예: OL → 수급회의 확정수요 → 재고/Open PO → 계산 → 보고 → FX-LIVE → 입고/Invoice.</x:v>
      </x:c>
      <x:c r="H2" s="8" t="str">
        <x:v>가능하면 동일한 월도의 자료를 한 사이클로 수집합니다. 예: OL → 수급회의 확정수요 → 재고/Open PO → 계산 → 보고 → FX-LIVE → 입고/Invoice.</x:v>
      </x:c>
    </x:row>
    <x:row r="4" ht="28" customHeight="1">
      <x:c r="A4" s="17" t="str">
        <x:v>No.</x:v>
      </x:c>
      <x:c r="B4" s="17" t="str">
        <x:v>필요 자료</x:v>
      </x:c>
      <x:c r="C4" s="17" t="str">
        <x:v>권장 기간/대상</x:v>
      </x:c>
      <x:c r="D4" s="17" t="str">
        <x:v>필수 여부</x:v>
      </x:c>
      <x:c r="E4" s="17" t="str">
        <x:v>파일/시스템명</x:v>
      </x:c>
      <x:c r="F4" s="17" t="str">
        <x:v>수집 여부</x:v>
      </x:c>
      <x:c r="G4" s="17" t="str">
        <x:v>수집 담당</x:v>
      </x:c>
      <x:c r="H4" s="17" t="str">
        <x:v>비고</x:v>
      </x:c>
    </x:row>
    <x:row r="5">
      <x:c r="A5" s="30" t="n">
        <x:v>1</x:v>
      </x:c>
      <x:c r="B5" s="31" t="str">
        <x:v>영업부서별 OL</x:v>
      </x:c>
      <x:c r="C5" s="31" t="str">
        <x:v>최근 완료 월 1개월</x:v>
      </x:c>
      <x:c r="D5" s="31" t="str">
        <x:v>필수</x:v>
      </x:c>
      <x:c r="E5" s="31" t="str"/>
      <x:c r="F5" s="65" t="str">
        <x:v>미수집</x:v>
      </x:c>
      <x:c r="G5" s="31" t="str"/>
      <x:c r="H5" s="32" t="str"/>
    </x:row>
    <x:row r="6">
      <x:c r="A6" s="33" t="n">
        <x:v>2</x:v>
      </x:c>
      <x:c r="B6" s="34" t="str">
        <x:v>수급회의 자료·회의록</x:v>
      </x:c>
      <x:c r="C6" s="34" t="str">
        <x:v>OL과 동일 월도</x:v>
      </x:c>
      <x:c r="D6" s="34" t="str">
        <x:v>필수</x:v>
      </x:c>
      <x:c r="E6" s="34" t="str"/>
      <x:c r="F6" s="66" t="str">
        <x:v>미수집</x:v>
      </x:c>
      <x:c r="G6" s="34" t="str"/>
      <x:c r="H6" s="35" t="str"/>
    </x:row>
    <x:row r="7">
      <x:c r="A7" s="33" t="n">
        <x:v>3</x:v>
      </x:c>
      <x:c r="B7" s="34" t="str">
        <x:v>SFDC 중요 파이프라인</x:v>
      </x:c>
      <x:c r="C7" s="34" t="str">
        <x:v>동일 월도 기준</x:v>
      </x:c>
      <x:c r="D7" s="34" t="str">
        <x:v>권장</x:v>
      </x:c>
      <x:c r="E7" s="34" t="str"/>
      <x:c r="F7" s="66" t="str">
        <x:v>미수집</x:v>
      </x:c>
      <x:c r="G7" s="34" t="str"/>
      <x:c r="H7" s="35" t="str"/>
    </x:row>
    <x:row r="8">
      <x:c r="A8" s="33" t="n">
        <x:v>4</x:v>
      </x:c>
      <x:c r="B8" s="34" t="str">
        <x:v>OL 외 Bulk-deal 자료</x:v>
      </x:c>
      <x:c r="C8" s="34" t="str">
        <x:v>동일 월도 기준</x:v>
      </x:c>
      <x:c r="D8" s="34" t="str">
        <x:v>권장</x:v>
      </x:c>
      <x:c r="E8" s="34" t="str"/>
      <x:c r="F8" s="66" t="str">
        <x:v>미수집</x:v>
      </x:c>
      <x:c r="G8" s="34" t="str"/>
      <x:c r="H8" s="35" t="str"/>
    </x:row>
    <x:row r="9">
      <x:c r="A9" s="33" t="n">
        <x:v>5</x:v>
      </x:c>
      <x:c r="B9" s="34" t="str">
        <x:v>과거 월별 출고·판매 실적</x:v>
      </x:c>
      <x:c r="C9" s="34" t="str">
        <x:v>최근 12개월</x:v>
      </x:c>
      <x:c r="D9" s="34" t="str">
        <x:v>필수</x:v>
      </x:c>
      <x:c r="E9" s="34" t="str"/>
      <x:c r="F9" s="66" t="str">
        <x:v>미수집</x:v>
      </x:c>
      <x:c r="G9" s="34" t="str"/>
      <x:c r="H9" s="35" t="str"/>
    </x:row>
    <x:row r="10">
      <x:c r="A10" s="33" t="n">
        <x:v>6</x:v>
      </x:c>
      <x:c r="B10" s="34" t="str">
        <x:v>전월말 기기 재고</x:v>
      </x:c>
      <x:c r="C10" s="34" t="str">
        <x:v>동일 월도 전월말</x:v>
      </x:c>
      <x:c r="D10" s="34" t="str">
        <x:v>필수</x:v>
      </x:c>
      <x:c r="E10" s="34" t="str"/>
      <x:c r="F10" s="66" t="str">
        <x:v>미수집</x:v>
      </x:c>
      <x:c r="G10" s="34" t="str"/>
      <x:c r="H10" s="35" t="str"/>
    </x:row>
    <x:row r="11">
      <x:c r="A11" s="33" t="n">
        <x:v>7</x:v>
      </x:c>
      <x:c r="B11" s="34" t="str">
        <x:v>전월말 옵션·부품·소모품 재고</x:v>
      </x:c>
      <x:c r="C11" s="34" t="str">
        <x:v>동일 월도 전월말</x:v>
      </x:c>
      <x:c r="D11" s="34" t="str">
        <x:v>필수</x:v>
      </x:c>
      <x:c r="E11" s="34" t="str"/>
      <x:c r="F11" s="66" t="str">
        <x:v>미수집</x:v>
      </x:c>
      <x:c r="G11" s="34" t="str"/>
      <x:c r="H11" s="35" t="str"/>
    </x:row>
    <x:row r="12">
      <x:c r="A12" s="33" t="n">
        <x:v>8</x:v>
      </x:c>
      <x:c r="B12" s="34" t="str">
        <x:v>Open PO 및 납기정보</x:v>
      </x:c>
      <x:c r="C12" s="34" t="str">
        <x:v>동일 월도 기준</x:v>
      </x:c>
      <x:c r="D12" s="34" t="str">
        <x:v>필수</x:v>
      </x:c>
      <x:c r="E12" s="34" t="str"/>
      <x:c r="F12" s="66" t="str">
        <x:v>미수집</x:v>
      </x:c>
      <x:c r="G12" s="34" t="str"/>
      <x:c r="H12" s="35" t="str"/>
    </x:row>
    <x:row r="13">
      <x:c r="A13" s="33" t="n">
        <x:v>9</x:v>
      </x:c>
      <x:c r="B13" s="34" t="str">
        <x:v>Supplier별 Lead Time</x:v>
      </x:c>
      <x:c r="C13" s="34" t="str">
        <x:v>전체 Supplier·공급지역</x:v>
      </x:c>
      <x:c r="D13" s="34" t="str">
        <x:v>필수</x:v>
      </x:c>
      <x:c r="E13" s="34" t="str"/>
      <x:c r="F13" s="66" t="str">
        <x:v>미수집</x:v>
      </x:c>
      <x:c r="G13" s="34" t="str"/>
      <x:c r="H13" s="35" t="str"/>
    </x:row>
    <x:row r="14">
      <x:c r="A14" s="33" t="n">
        <x:v>10</x:v>
      </x:c>
      <x:c r="B14" s="34" t="str">
        <x:v>기기·옵션·부품 BOM</x:v>
      </x:c>
      <x:c r="C14" s="34" t="str">
        <x:v>현재 유효본</x:v>
      </x:c>
      <x:c r="D14" s="34" t="str">
        <x:v>필수</x:v>
      </x:c>
      <x:c r="E14" s="34" t="str"/>
      <x:c r="F14" s="66" t="str">
        <x:v>미수집</x:v>
      </x:c>
      <x:c r="G14" s="34" t="str"/>
      <x:c r="H14" s="35" t="str"/>
    </x:row>
    <x:row r="15">
      <x:c r="A15" s="33" t="n">
        <x:v>11</x:v>
      </x:c>
      <x:c r="B15" s="34" t="str">
        <x:v>옵션 장착율</x:v>
      </x:c>
      <x:c r="C15" s="34" t="str">
        <x:v>최근 3/6/12개월</x:v>
      </x:c>
      <x:c r="D15" s="34" t="str">
        <x:v>필수</x:v>
      </x:c>
      <x:c r="E15" s="34" t="str"/>
      <x:c r="F15" s="66" t="str">
        <x:v>미수집</x:v>
      </x:c>
      <x:c r="G15" s="34" t="str"/>
      <x:c r="H15" s="35" t="str"/>
    </x:row>
    <x:row r="16">
      <x:c r="A16" s="33" t="n">
        <x:v>12</x:v>
      </x:c>
      <x:c r="B16" s="34" t="str">
        <x:v>품목별 평균 사용량</x:v>
      </x:c>
      <x:c r="C16" s="34" t="str">
        <x:v>최근 3/6/12개월</x:v>
      </x:c>
      <x:c r="D16" s="34" t="str">
        <x:v>필수</x:v>
      </x:c>
      <x:c r="E16" s="34" t="str"/>
      <x:c r="F16" s="66" t="str">
        <x:v>미수집</x:v>
      </x:c>
      <x:c r="G16" s="34" t="str"/>
      <x:c r="H16" s="35" t="str"/>
    </x:row>
    <x:row r="17">
      <x:c r="A17" s="33" t="n">
        <x:v>13</x:v>
      </x:c>
      <x:c r="B17" s="34" t="str">
        <x:v>품목별 MOQ·발주단위</x:v>
      </x:c>
      <x:c r="C17" s="34" t="str">
        <x:v>현재 유효본</x:v>
      </x:c>
      <x:c r="D17" s="34" t="str">
        <x:v>필수</x:v>
      </x:c>
      <x:c r="E17" s="34" t="str"/>
      <x:c r="F17" s="66" t="str">
        <x:v>미수집</x:v>
      </x:c>
      <x:c r="G17" s="34" t="str"/>
      <x:c r="H17" s="35" t="str"/>
    </x:row>
    <x:row r="18">
      <x:c r="A18" s="33" t="n">
        <x:v>14</x:v>
      </x:c>
      <x:c r="B18" s="34" t="str">
        <x:v>실제 발주량 계산 엑셀</x:v>
      </x:c>
      <x:c r="C18" s="34" t="str">
        <x:v>동일 월도</x:v>
      </x:c>
      <x:c r="D18" s="34" t="str">
        <x:v>필수</x:v>
      </x:c>
      <x:c r="E18" s="34" t="str"/>
      <x:c r="F18" s="66" t="str">
        <x:v>미수집</x:v>
      </x:c>
      <x:c r="G18" s="34" t="str"/>
      <x:c r="H18" s="35" t="str"/>
    </x:row>
    <x:row r="19">
      <x:c r="A19" s="33" t="n">
        <x:v>15</x:v>
      </x:c>
      <x:c r="B19" s="34" t="str">
        <x:v>사장 보고자료</x:v>
      </x:c>
      <x:c r="C19" s="34" t="str">
        <x:v>동일 월도</x:v>
      </x:c>
      <x:c r="D19" s="34" t="str">
        <x:v>필수</x:v>
      </x:c>
      <x:c r="E19" s="34" t="str"/>
      <x:c r="F19" s="66" t="str">
        <x:v>미수집</x:v>
      </x:c>
      <x:c r="G19" s="34" t="str"/>
      <x:c r="H19" s="35" t="str"/>
    </x:row>
    <x:row r="20">
      <x:c r="A20" s="33" t="n">
        <x:v>16</x:v>
      </x:c>
      <x:c r="B20" s="34" t="str">
        <x:v>FX-LIVE 입력·결과 파일</x:v>
      </x:c>
      <x:c r="C20" s="34" t="str">
        <x:v>동일 월도</x:v>
      </x:c>
      <x:c r="D20" s="34" t="str">
        <x:v>필수</x:v>
      </x:c>
      <x:c r="E20" s="34" t="str"/>
      <x:c r="F20" s="66" t="str">
        <x:v>미수집</x:v>
      </x:c>
      <x:c r="G20" s="34" t="str"/>
      <x:c r="H20" s="35" t="str"/>
    </x:row>
  </x:sheetData>
  <x:mergeCells>
    <x:mergeCell ref="A1:H1"/>
    <x:mergeCell ref="A2:H2"/>
  </x:mergeCells>
  <x:dataValidations count="1">
    <x:dataValidation type="list" sqref="F5:F20">
      <x:formula1>"미수집,요청중,수집완료,검토완료,해당없음"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44" hidden="0" customWidth="1"/>
    <x:col min="4" max="4" width="30" hidden="0" customWidth="1"/>
    <x:col min="5" max="5" width="28" hidden="0" customWidth="1"/>
    <x:col min="6" max="6" width="34" hidden="0" customWidth="1"/>
    <x:col min="7" max="7" width="18" hidden="0" customWidth="1"/>
    <x:col min="8" max="8" width="14" hidden="0" customWidth="1"/>
    <x:col min="9" max="9" width="14" hidden="0" customWidth="1"/>
  </x:cols>
  <x:sheetData>
    <x:row r="1" ht="30" customHeight="1">
      <x:c r="A1" s="4" t="str">
        <x:v>10. 정책 결정 및 업무 기준 확정표</x:v>
      </x:c>
      <x:c r="B1" s="4" t="str">
        <x:v>10. 정책 결정 및 업무 기준 확정표</x:v>
      </x:c>
      <x:c r="C1" s="4" t="str">
        <x:v>10. 정책 결정 및 업무 기준 확정표</x:v>
      </x:c>
      <x:c r="D1" s="4" t="str">
        <x:v>10. 정책 결정 및 업무 기준 확정표</x:v>
      </x:c>
      <x:c r="E1" s="4" t="str">
        <x:v>10. 정책 결정 및 업무 기준 확정표</x:v>
      </x:c>
      <x:c r="F1" s="4" t="str">
        <x:v>10. 정책 결정 및 업무 기준 확정표</x:v>
      </x:c>
      <x:c r="G1" s="4" t="str">
        <x:v>10. 정책 결정 및 업무 기준 확정표</x:v>
      </x:c>
      <x:c r="H1" s="4" t="str">
        <x:v>10. 정책 결정 및 업무 기준 확정표</x:v>
      </x:c>
      <x:c r="I1" s="4" t="str">
        <x:v>10. 정책 결정 및 업무 기준 확정표</x:v>
      </x:c>
    </x:row>
    <x:row r="2" ht="32" customHeight="1">
      <x:c r="A2" s="8" t="str">
        <x:v>시스템 계산·승인·예외처리에 영향을 주는 의사결정 항목을 별도로 관리합니다. 회의 전후의 선택안과 결정 근거를 기록합니다.</x:v>
      </x:c>
      <x:c r="B2" s="8" t="str">
        <x:v>시스템 계산·승인·예외처리에 영향을 주는 의사결정 항목을 별도로 관리합니다. 회의 전후의 선택안과 결정 근거를 기록합니다.</x:v>
      </x:c>
      <x:c r="C2" s="8" t="str">
        <x:v>시스템 계산·승인·예외처리에 영향을 주는 의사결정 항목을 별도로 관리합니다. 회의 전후의 선택안과 결정 근거를 기록합니다.</x:v>
      </x:c>
      <x:c r="D2" s="8" t="str">
        <x:v>시스템 계산·승인·예외처리에 영향을 주는 의사결정 항목을 별도로 관리합니다. 회의 전후의 선택안과 결정 근거를 기록합니다.</x:v>
      </x:c>
      <x:c r="E2" s="8" t="str">
        <x:v>시스템 계산·승인·예외처리에 영향을 주는 의사결정 항목을 별도로 관리합니다. 회의 전후의 선택안과 결정 근거를 기록합니다.</x:v>
      </x:c>
      <x:c r="F2" s="8" t="str">
        <x:v>시스템 계산·승인·예외처리에 영향을 주는 의사결정 항목을 별도로 관리합니다. 회의 전후의 선택안과 결정 근거를 기록합니다.</x:v>
      </x:c>
      <x:c r="G2" s="8" t="str">
        <x:v>시스템 계산·승인·예외처리에 영향을 주는 의사결정 항목을 별도로 관리합니다. 회의 전후의 선택안과 결정 근거를 기록합니다.</x:v>
      </x:c>
      <x:c r="H2" s="8" t="str">
        <x:v>시스템 계산·승인·예외처리에 영향을 주는 의사결정 항목을 별도로 관리합니다. 회의 전후의 선택안과 결정 근거를 기록합니다.</x:v>
      </x:c>
      <x:c r="I2" s="8" t="str">
        <x:v>시스템 계산·승인·예외처리에 영향을 주는 의사결정 항목을 별도로 관리합니다. 회의 전후의 선택안과 결정 근거를 기록합니다.</x:v>
      </x:c>
    </x:row>
    <x:row r="4" ht="28" customHeight="1">
      <x:c r="A4" s="17" t="str">
        <x:v>No.</x:v>
      </x:c>
      <x:c r="B4" s="17" t="str">
        <x:v>정책 주제</x:v>
      </x:c>
      <x:c r="C4" s="17" t="str">
        <x:v>결정이 필요한 질문</x:v>
      </x:c>
      <x:c r="D4" s="17" t="str">
        <x:v>선택안/현재안</x:v>
      </x:c>
      <x:c r="E4" s="17" t="str">
        <x:v>최종 결정</x:v>
      </x:c>
      <x:c r="F4" s="17" t="str">
        <x:v>결정 근거</x:v>
      </x:c>
      <x:c r="G4" s="17" t="str">
        <x:v>결정자</x:v>
      </x:c>
      <x:c r="H4" s="17" t="str">
        <x:v>결정일</x:v>
      </x:c>
      <x:c r="I4" s="17" t="str">
        <x:v>상태</x:v>
      </x:c>
    </x:row>
    <x:row r="5">
      <x:c r="A5" s="30" t="n">
        <x:v>1</x:v>
      </x:c>
      <x:c r="B5" s="31" t="str">
        <x:v>수요 우선순위</x:v>
      </x:c>
      <x:c r="C5" s="31" t="str">
        <x:v>OL·SFDC·수급회의 자료가 다르면 무엇을 기준으로 하는가?</x:v>
      </x:c>
      <x:c r="D5" s="31" t="str">
        <x:v>수급회의 최종값</x:v>
      </x:c>
      <x:c r="E5" s="42" t="str"/>
      <x:c r="F5" s="42" t="str"/>
      <x:c r="G5" s="42" t="str"/>
      <x:c r="H5" s="42" t="str"/>
      <x:c r="I5" s="67" t="str">
        <x:v>미결정</x:v>
      </x:c>
    </x:row>
    <x:row r="6">
      <x:c r="A6" s="33" t="n">
        <x:v>2</x:v>
      </x:c>
      <x:c r="B6" s="34" t="str">
        <x:v>조건부 수요</x:v>
      </x:c>
      <x:c r="C6" s="34" t="str">
        <x:v>조건부 수요를 몇 % 반영하는가?</x:v>
      </x:c>
      <x:c r="D6" s="34" t="str">
        <x:v>100%/일부/미반영</x:v>
      </x:c>
      <x:c r="E6" s="43" t="str"/>
      <x:c r="F6" s="43" t="str"/>
      <x:c r="G6" s="43" t="str"/>
      <x:c r="H6" s="43" t="str"/>
      <x:c r="I6" s="68" t="str">
        <x:v>미결정</x:v>
      </x:c>
    </x:row>
    <x:row r="7">
      <x:c r="A7" s="33" t="n">
        <x:v>3</x:v>
      </x:c>
      <x:c r="B7" s="34" t="str">
        <x:v>Bulk-deal</x:v>
      </x:c>
      <x:c r="C7" s="34" t="str">
        <x:v>수주 전 사전재고 확보를 허용하는가?</x:v>
      </x:c>
      <x:c r="D7" s="34" t="str">
        <x:v>허용/조건부/불허</x:v>
      </x:c>
      <x:c r="E7" s="43" t="str"/>
      <x:c r="F7" s="43" t="str"/>
      <x:c r="G7" s="43" t="str"/>
      <x:c r="H7" s="43" t="str"/>
      <x:c r="I7" s="68" t="str">
        <x:v>미결정</x:v>
      </x:c>
    </x:row>
    <x:row r="8">
      <x:c r="A8" s="33" t="n">
        <x:v>4</x:v>
      </x:c>
      <x:c r="B8" s="34" t="str">
        <x:v>Open PO</x:v>
      </x:c>
      <x:c r="C8" s="34" t="str">
        <x:v>어떤 PO 상태부터 가용공급으로 인정하는가?</x:v>
      </x:c>
      <x:c r="D8" s="34" t="str">
        <x:v>상태코드 기준</x:v>
      </x:c>
      <x:c r="E8" s="43" t="str"/>
      <x:c r="F8" s="43" t="str"/>
      <x:c r="G8" s="43" t="str"/>
      <x:c r="H8" s="43" t="str"/>
      <x:c r="I8" s="68" t="str">
        <x:v>미결정</x:v>
      </x:c>
    </x:row>
    <x:row r="9">
      <x:c r="A9" s="33" t="n">
        <x:v>5</x:v>
      </x:c>
      <x:c r="B9" s="34" t="str">
        <x:v>Lead Time</x:v>
      </x:c>
      <x:c r="C9" s="34" t="str">
        <x:v>LT는 어느 구간을 포함하는가?</x:v>
      </x:c>
      <x:c r="D9" s="34" t="str">
        <x:v>발주~도착/입고</x:v>
      </x:c>
      <x:c r="E9" s="43" t="str"/>
      <x:c r="F9" s="43" t="str"/>
      <x:c r="G9" s="43" t="str"/>
      <x:c r="H9" s="43" t="str"/>
      <x:c r="I9" s="68" t="str">
        <x:v>미결정</x:v>
      </x:c>
    </x:row>
    <x:row r="10">
      <x:c r="A10" s="33" t="n">
        <x:v>6</x:v>
      </x:c>
      <x:c r="B10" s="34" t="str">
        <x:v>Flex 순서</x:v>
      </x:c>
      <x:c r="C10" s="34" t="str">
        <x:v>Flex를 MOQ 전 또는 후에 적용하는가?</x:v>
      </x:c>
      <x:c r="D10" s="34" t="str">
        <x:v>MOQ 전/MOQ 후</x:v>
      </x:c>
      <x:c r="E10" s="43" t="str"/>
      <x:c r="F10" s="43" t="str"/>
      <x:c r="G10" s="43" t="str"/>
      <x:c r="H10" s="43" t="str"/>
      <x:c r="I10" s="68" t="str">
        <x:v>미결정</x:v>
      </x:c>
    </x:row>
    <x:row r="11">
      <x:c r="A11" s="33" t="n">
        <x:v>7</x:v>
      </x:c>
      <x:c r="B11" s="34" t="str">
        <x:v>Flex 초과</x:v>
      </x:c>
      <x:c r="C11" s="34" t="str">
        <x:v>Flex 초과 시 경고·차단·승인 중 무엇인가?</x:v>
      </x:c>
      <x:c r="D11" s="34" t="str">
        <x:v>경고/차단/승인</x:v>
      </x:c>
      <x:c r="E11" s="43" t="str"/>
      <x:c r="F11" s="43" t="str"/>
      <x:c r="G11" s="43" t="str"/>
      <x:c r="H11" s="43" t="str"/>
      <x:c r="I11" s="68" t="str">
        <x:v>미결정</x:v>
      </x:c>
    </x:row>
    <x:row r="12">
      <x:c r="A12" s="33" t="n">
        <x:v>8</x:v>
      </x:c>
      <x:c r="B12" s="34" t="str">
        <x:v>옵션 계산</x:v>
      </x:c>
      <x:c r="C12" s="34" t="str">
        <x:v>장착 기반 수요와 평균 사용량을 어떻게 구분하는가?</x:v>
      </x:c>
      <x:c r="D12" s="34" t="str">
        <x:v>품목유형별 규칙</x:v>
      </x:c>
      <x:c r="E12" s="43" t="str"/>
      <x:c r="F12" s="43" t="str"/>
      <x:c r="G12" s="43" t="str"/>
      <x:c r="H12" s="43" t="str"/>
      <x:c r="I12" s="68" t="str">
        <x:v>미결정</x:v>
      </x:c>
    </x:row>
    <x:row r="13">
      <x:c r="A13" s="33" t="n">
        <x:v>9</x:v>
      </x:c>
      <x:c r="B13" s="34" t="str">
        <x:v>MOQ 과잉</x:v>
      </x:c>
      <x:c r="C13" s="34" t="str">
        <x:v>MOQ 초과분의 승인 기준은 무엇인가?</x:v>
      </x:c>
      <x:c r="D13" s="34" t="str">
        <x:v>금액/수량 threshold</x:v>
      </x:c>
      <x:c r="E13" s="43" t="str"/>
      <x:c r="F13" s="43" t="str"/>
      <x:c r="G13" s="43" t="str"/>
      <x:c r="H13" s="43" t="str"/>
      <x:c r="I13" s="68" t="str">
        <x:v>미결정</x:v>
      </x:c>
    </x:row>
    <x:row r="14">
      <x:c r="A14" s="33" t="n">
        <x:v>10</x:v>
      </x:c>
      <x:c r="B14" s="34" t="str">
        <x:v>금액</x:v>
      </x:c>
      <x:c r="C14" s="34" t="str">
        <x:v>발주금액에 운송비·관세·세금을 포함하는가?</x:v>
      </x:c>
      <x:c r="D14" s="34" t="str">
        <x:v>포함/제외</x:v>
      </x:c>
      <x:c r="E14" s="43" t="str"/>
      <x:c r="F14" s="43" t="str"/>
      <x:c r="G14" s="43" t="str"/>
      <x:c r="H14" s="43" t="str"/>
      <x:c r="I14" s="68" t="str">
        <x:v>미결정</x:v>
      </x:c>
    </x:row>
    <x:row r="15">
      <x:c r="A15" s="33" t="n">
        <x:v>11</x:v>
      </x:c>
      <x:c r="B15" s="34" t="str">
        <x:v>승인</x:v>
      </x:c>
      <x:c r="C15" s="34" t="str">
        <x:v>사장 보고·승인이 필요한 기준은?</x:v>
      </x:c>
      <x:c r="D15" s="34" t="str">
        <x:v>금액/품목/예외</x:v>
      </x:c>
      <x:c r="E15" s="43" t="str"/>
      <x:c r="F15" s="43" t="str"/>
      <x:c r="G15" s="43" t="str"/>
      <x:c r="H15" s="43" t="str"/>
      <x:c r="I15" s="68" t="str">
        <x:v>미결정</x:v>
      </x:c>
    </x:row>
    <x:row r="16">
      <x:c r="A16" s="33" t="n">
        <x:v>12</x:v>
      </x:c>
      <x:c r="B16" s="34" t="str">
        <x:v>연계</x:v>
      </x:c>
      <x:c r="C16" s="34" t="str">
        <x:v>FX-LIVE와 기존 시스템을 어떤 방식으로 연계하는가?</x:v>
      </x:c>
      <x:c r="D16" s="34" t="str">
        <x:v>수동/파일/API</x:v>
      </x:c>
      <x:c r="E16" s="43" t="str"/>
      <x:c r="F16" s="43" t="str"/>
      <x:c r="G16" s="43" t="str"/>
      <x:c r="H16" s="43" t="str"/>
      <x:c r="I16" s="68" t="str">
        <x:v>미결정</x:v>
      </x:c>
    </x:row>
  </x:sheetData>
  <x:mergeCells>
    <x:mergeCell ref="A1:I1"/>
    <x:mergeCell ref="A2:I2"/>
  </x:mergeCells>
  <x:dataValidations count="1">
    <x:dataValidation type="list" sqref="I5:I16">
      <x:formula1>"미결정,검토중,결정,재검토"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34" hidden="0" customWidth="1"/>
    <x:col min="4" max="4" width="14" hidden="0" customWidth="1"/>
    <x:col min="5" max="5" width="18" hidden="0" customWidth="1"/>
    <x:col min="6" max="6" width="28" hidden="0" customWidth="1"/>
    <x:col min="7" max="7" width="28" hidden="0" customWidth="1"/>
    <x:col min="8" max="8" width="38" hidden="0" customWidth="1"/>
    <x:col min="9" max="9" width="24" hidden="0" customWidth="1"/>
  </x:cols>
  <x:sheetData>
    <x:row r="1" ht="30" customHeight="1">
      <x:c r="A1" s="4" t="str">
        <x:v>11. FX-LIVE 및 주변 시스템 연계 정의</x:v>
      </x:c>
      <x:c r="B1" s="4" t="str">
        <x:v>11. FX-LIVE 및 주변 시스템 연계 정의</x:v>
      </x:c>
      <x:c r="C1" s="4" t="str">
        <x:v>11. FX-LIVE 및 주변 시스템 연계 정의</x:v>
      </x:c>
      <x:c r="D1" s="4" t="str">
        <x:v>11. FX-LIVE 및 주변 시스템 연계 정의</x:v>
      </x:c>
      <x:c r="E1" s="4" t="str">
        <x:v>11. FX-LIVE 및 주변 시스템 연계 정의</x:v>
      </x:c>
      <x:c r="F1" s="4" t="str">
        <x:v>11. FX-LIVE 및 주변 시스템 연계 정의</x:v>
      </x:c>
      <x:c r="G1" s="4" t="str">
        <x:v>11. FX-LIVE 및 주변 시스템 연계 정의</x:v>
      </x:c>
      <x:c r="H1" s="4" t="str">
        <x:v>11. FX-LIVE 및 주변 시스템 연계 정의</x:v>
      </x:c>
      <x:c r="I1" s="4" t="str">
        <x:v>11. FX-LIVE 및 주변 시스템 연계 정의</x:v>
      </x:c>
    </x:row>
    <x:row r="2" ht="32" customHeight="1">
      <x:c r="A2" s="8" t="str">
        <x:v>FX-LIVE 입력 파일·화면·API를 확인하며 필드 매핑을 작성합니다. 노란색 열은 실제 시스템 확인 후 입력합니다.</x:v>
      </x:c>
      <x:c r="B2" s="8" t="str">
        <x:v>FX-LIVE 입력 파일·화면·API를 확인하며 필드 매핑을 작성합니다. 노란색 열은 실제 시스템 확인 후 입력합니다.</x:v>
      </x:c>
      <x:c r="C2" s="8" t="str">
        <x:v>FX-LIVE 입력 파일·화면·API를 확인하며 필드 매핑을 작성합니다. 노란색 열은 실제 시스템 확인 후 입력합니다.</x:v>
      </x:c>
      <x:c r="D2" s="8" t="str">
        <x:v>FX-LIVE 입력 파일·화면·API를 확인하며 필드 매핑을 작성합니다. 노란색 열은 실제 시스템 확인 후 입력합니다.</x:v>
      </x:c>
      <x:c r="E2" s="8" t="str">
        <x:v>FX-LIVE 입력 파일·화면·API를 확인하며 필드 매핑을 작성합니다. 노란색 열은 실제 시스템 확인 후 입력합니다.</x:v>
      </x:c>
      <x:c r="F2" s="8" t="str">
        <x:v>FX-LIVE 입력 파일·화면·API를 확인하며 필드 매핑을 작성합니다. 노란색 열은 실제 시스템 확인 후 입력합니다.</x:v>
      </x:c>
      <x:c r="G2" s="8" t="str">
        <x:v>FX-LIVE 입력 파일·화면·API를 확인하며 필드 매핑을 작성합니다. 노란색 열은 실제 시스템 확인 후 입력합니다.</x:v>
      </x:c>
      <x:c r="H2" s="8" t="str">
        <x:v>FX-LIVE 입력 파일·화면·API를 확인하며 필드 매핑을 작성합니다. 노란색 열은 실제 시스템 확인 후 입력합니다.</x:v>
      </x:c>
      <x:c r="I2" s="8" t="str">
        <x:v>FX-LIVE 입력 파일·화면·API를 확인하며 필드 매핑을 작성합니다. 노란색 열은 실제 시스템 확인 후 입력합니다.</x:v>
      </x:c>
    </x:row>
    <x:row r="4" ht="28" customHeight="1">
      <x:c r="A4" s="17" t="str">
        <x:v>No.</x:v>
      </x:c>
      <x:c r="B4" s="17" t="str">
        <x:v>필드명</x:v>
      </x:c>
      <x:c r="C4" s="17" t="str">
        <x:v>업무 의미</x:v>
      </x:c>
      <x:c r="D4" s="17" t="str">
        <x:v>필수 여부</x:v>
      </x:c>
      <x:c r="E4" s="17" t="str">
        <x:v>데이터 형식</x:v>
      </x:c>
      <x:c r="F4" s="17" t="str">
        <x:v>FX-LIVE 필드/컬럼</x:v>
      </x:c>
      <x:c r="G4" s="17" t="str">
        <x:v>원천 시스템·컬럼</x:v>
      </x:c>
      <x:c r="H4" s="17" t="str">
        <x:v>검증 규칙</x:v>
      </x:c>
      <x:c r="I4" s="17" t="str">
        <x:v>샘플값</x:v>
      </x:c>
    </x:row>
    <x:row r="5">
      <x:c r="A5" s="30" t="n">
        <x:v>1</x:v>
      </x:c>
      <x:c r="B5" s="31" t="str">
        <x:v>Supplier 코드</x:v>
      </x:c>
      <x:c r="C5" s="31" t="str">
        <x:v>발주 Supplier 식별자</x:v>
      </x:c>
      <x:c r="D5" s="31" t="str">
        <x:v>필수</x:v>
      </x:c>
      <x:c r="E5" s="31" t="str">
        <x:v>문자</x:v>
      </x:c>
      <x:c r="F5" s="42" t="str"/>
      <x:c r="G5" s="42" t="str">
        <x:v>Supplier 마스터</x:v>
      </x:c>
      <x:c r="H5" s="31" t="str">
        <x:v>유효 Supplier 여부</x:v>
      </x:c>
      <x:c r="I5" s="63" t="str"/>
    </x:row>
    <x:row r="6">
      <x:c r="A6" s="33" t="n">
        <x:v>2</x:v>
      </x:c>
      <x:c r="B6" s="34" t="str">
        <x:v>품목코드</x:v>
      </x:c>
      <x:c r="C6" s="34" t="str">
        <x:v>기기·옵션·부품 SKU</x:v>
      </x:c>
      <x:c r="D6" s="34" t="str">
        <x:v>필수</x:v>
      </x:c>
      <x:c r="E6" s="34" t="str">
        <x:v>문자</x:v>
      </x:c>
      <x:c r="F6" s="43" t="str"/>
      <x:c r="G6" s="43" t="str">
        <x:v>품목 마스터</x:v>
      </x:c>
      <x:c r="H6" s="34" t="str">
        <x:v>유효·중복 여부</x:v>
      </x:c>
      <x:c r="I6" s="64" t="str"/>
    </x:row>
    <x:row r="7">
      <x:c r="A7" s="33" t="n">
        <x:v>3</x:v>
      </x:c>
      <x:c r="B7" s="34" t="str">
        <x:v>기종코드</x:v>
      </x:c>
      <x:c r="C7" s="34" t="str">
        <x:v>기기 모델 식별자</x:v>
      </x:c>
      <x:c r="D7" s="34" t="str">
        <x:v>조건부</x:v>
      </x:c>
      <x:c r="E7" s="34" t="str">
        <x:v>문자</x:v>
      </x:c>
      <x:c r="F7" s="43" t="str"/>
      <x:c r="G7" s="43" t="str">
        <x:v>BOM/품목 마스터</x:v>
      </x:c>
      <x:c r="H7" s="34" t="str">
        <x:v>옵션 관계 검증</x:v>
      </x:c>
      <x:c r="I7" s="64" t="str"/>
    </x:row>
    <x:row r="8">
      <x:c r="A8" s="33" t="n">
        <x:v>4</x:v>
      </x:c>
      <x:c r="B8" s="34" t="str">
        <x:v>발주수량</x:v>
      </x:c>
      <x:c r="C8" s="34" t="str">
        <x:v>최종 FIX 발주 수량</x:v>
      </x:c>
      <x:c r="D8" s="34" t="str">
        <x:v>필수</x:v>
      </x:c>
      <x:c r="E8" s="34" t="str">
        <x:v>정수</x:v>
      </x:c>
      <x:c r="F8" s="43" t="str"/>
      <x:c r="G8" s="43" t="str">
        <x:v>발주계산</x:v>
      </x:c>
      <x:c r="H8" s="34" t="str">
        <x:v>MOQ·발주단위·승인본 일치</x:v>
      </x:c>
      <x:c r="I8" s="64" t="str"/>
    </x:row>
    <x:row r="9">
      <x:c r="A9" s="33" t="n">
        <x:v>5</x:v>
      </x:c>
      <x:c r="B9" s="34" t="str">
        <x:v>필요월도</x:v>
      </x:c>
      <x:c r="C9" s="34" t="str">
        <x:v>실제 필요한 월도</x:v>
      </x:c>
      <x:c r="D9" s="34" t="str">
        <x:v>필수</x:v>
      </x:c>
      <x:c r="E9" s="34" t="str">
        <x:v>YYYY-MM</x:v>
      </x:c>
      <x:c r="F9" s="43" t="str"/>
      <x:c r="G9" s="43" t="str">
        <x:v>수요계획</x:v>
      </x:c>
      <x:c r="H9" s="34" t="str">
        <x:v>출고예측월도와 일치</x:v>
      </x:c>
      <x:c r="I9" s="64" t="str"/>
    </x:row>
    <x:row r="10">
      <x:c r="A10" s="33" t="n">
        <x:v>6</x:v>
      </x:c>
      <x:c r="B10" s="34" t="str">
        <x:v>발주금액</x:v>
      </x:c>
      <x:c r="C10" s="34" t="str">
        <x:v>수량×단가 또는 제출금액</x:v>
      </x:c>
      <x:c r="D10" s="34" t="str">
        <x:v>필수</x:v>
      </x:c>
      <x:c r="E10" s="34" t="str">
        <x:v>금액</x:v>
      </x:c>
      <x:c r="F10" s="43" t="str"/>
      <x:c r="G10" s="43" t="str">
        <x:v>발주계산</x:v>
      </x:c>
      <x:c r="H10" s="34" t="str">
        <x:v>금액 재계산 대사</x:v>
      </x:c>
      <x:c r="I10" s="64" t="str"/>
    </x:row>
    <x:row r="11">
      <x:c r="A11" s="33" t="n">
        <x:v>7</x:v>
      </x:c>
      <x:c r="B11" s="34" t="str">
        <x:v>단가</x:v>
      </x:c>
      <x:c r="C11" s="34" t="str">
        <x:v>Supplier 구매단가</x:v>
      </x:c>
      <x:c r="D11" s="34" t="str">
        <x:v>필수</x:v>
      </x:c>
      <x:c r="E11" s="34" t="str">
        <x:v>금액</x:v>
      </x:c>
      <x:c r="F11" s="43" t="str"/>
      <x:c r="G11" s="43" t="str">
        <x:v>단가 마스터</x:v>
      </x:c>
      <x:c r="H11" s="34" t="str">
        <x:v>유효기간·통화 확인</x:v>
      </x:c>
      <x:c r="I11" s="64" t="str"/>
    </x:row>
    <x:row r="12">
      <x:c r="A12" s="33" t="n">
        <x:v>8</x:v>
      </x:c>
      <x:c r="B12" s="34" t="str">
        <x:v>통화</x:v>
      </x:c>
      <x:c r="C12" s="34" t="str">
        <x:v>발주금액 통화</x:v>
      </x:c>
      <x:c r="D12" s="34" t="str">
        <x:v>필수</x:v>
      </x:c>
      <x:c r="E12" s="34" t="str">
        <x:v>코드</x:v>
      </x:c>
      <x:c r="F12" s="43" t="str"/>
      <x:c r="G12" s="43" t="str">
        <x:v>단가 마스터</x:v>
      </x:c>
      <x:c r="H12" s="34" t="str">
        <x:v>허용 통화</x:v>
      </x:c>
      <x:c r="I12" s="64" t="str"/>
    </x:row>
    <x:row r="13">
      <x:c r="A13" s="33" t="n">
        <x:v>9</x:v>
      </x:c>
      <x:c r="B13" s="34" t="str">
        <x:v>납기일</x:v>
      </x:c>
      <x:c r="C13" s="34" t="str">
        <x:v>Supplier 약속 납기</x:v>
      </x:c>
      <x:c r="D13" s="34" t="str">
        <x:v>조건부</x:v>
      </x:c>
      <x:c r="E13" s="34" t="str">
        <x:v>YYYY-MM-DD</x:v>
      </x:c>
      <x:c r="F13" s="43" t="str"/>
      <x:c r="G13" s="43" t="str">
        <x:v>구매/선적</x:v>
      </x:c>
      <x:c r="H13" s="34" t="str">
        <x:v>Lead Time 검증</x:v>
      </x:c>
      <x:c r="I13" s="64" t="str"/>
    </x:row>
    <x:row r="14">
      <x:c r="A14" s="33" t="n">
        <x:v>10</x:v>
      </x:c>
      <x:c r="B14" s="34" t="str">
        <x:v>PO 번호</x:v>
      </x:c>
      <x:c r="C14" s="34" t="str">
        <x:v>발주 식별번호</x:v>
      </x:c>
      <x:c r="D14" s="34" t="str">
        <x:v>결과</x:v>
      </x:c>
      <x:c r="E14" s="34" t="str">
        <x:v>문자</x:v>
      </x:c>
      <x:c r="F14" s="43" t="str"/>
      <x:c r="G14" s="43" t="str">
        <x:v>FX-LIVE/ERP</x:v>
      </x:c>
      <x:c r="H14" s="34" t="str">
        <x:v>중복·연계 여부</x:v>
      </x:c>
      <x:c r="I14" s="64" t="str"/>
    </x:row>
    <x:row r="15">
      <x:c r="A15" s="33" t="n">
        <x:v>11</x:v>
      </x:c>
      <x:c r="B15" s="34" t="str">
        <x:v>승인번호</x:v>
      </x:c>
      <x:c r="C15" s="34" t="str">
        <x:v>사장 승인 또는 결재번호</x:v>
      </x:c>
      <x:c r="D15" s="34" t="str">
        <x:v>필수</x:v>
      </x:c>
      <x:c r="E15" s="34" t="str">
        <x:v>문자</x:v>
      </x:c>
      <x:c r="F15" s="43" t="str"/>
      <x:c r="G15" s="43" t="str">
        <x:v>승인관리</x:v>
      </x:c>
      <x:c r="H15" s="34" t="str">
        <x:v>승인 완료 여부</x:v>
      </x:c>
      <x:c r="I15" s="64" t="str"/>
    </x:row>
    <x:row r="16">
      <x:c r="A16" s="33" t="n">
        <x:v>12</x:v>
      </x:c>
      <x:c r="B16" s="34" t="str">
        <x:v>입력일시</x:v>
      </x:c>
      <x:c r="C16" s="34" t="str">
        <x:v>FX-LIVE 입력 일시</x:v>
      </x:c>
      <x:c r="D16" s="34" t="str">
        <x:v>결과</x:v>
      </x:c>
      <x:c r="E16" s="34" t="str">
        <x:v>Datetime</x:v>
      </x:c>
      <x:c r="F16" s="43" t="str"/>
      <x:c r="G16" s="43" t="str">
        <x:v>FX-LIVE</x:v>
      </x:c>
      <x:c r="H16" s="34" t="str">
        <x:v>입력자·일시 기록</x:v>
      </x:c>
      <x:c r="I16" s="64" t="str"/>
    </x:row>
    <x:row r="17">
      <x:c r="A17" s="33" t="n">
        <x:v>13</x:v>
      </x:c>
      <x:c r="B17" s="34" t="str">
        <x:v>입력자</x:v>
      </x:c>
      <x:c r="C17" s="34" t="str">
        <x:v>FX-LIVE 입력 담당자</x:v>
      </x:c>
      <x:c r="D17" s="34" t="str">
        <x:v>결과</x:v>
      </x:c>
      <x:c r="E17" s="34" t="str">
        <x:v>문자</x:v>
      </x:c>
      <x:c r="F17" s="43" t="str"/>
      <x:c r="G17" s="43" t="str">
        <x:v>FX-LIVE</x:v>
      </x:c>
      <x:c r="H17" s="34" t="str">
        <x:v>권한 확인</x:v>
      </x:c>
      <x:c r="I17" s="64" t="str"/>
    </x:row>
    <x:row r="18">
      <x:c r="A18" s="33" t="n">
        <x:v>14</x:v>
      </x:c>
      <x:c r="B18" s="34" t="str">
        <x:v>제출상태</x:v>
      </x:c>
      <x:c r="C18" s="34" t="str">
        <x:v>Supplier 제출 상태</x:v>
      </x:c>
      <x:c r="D18" s="34" t="str">
        <x:v>결과</x:v>
      </x:c>
      <x:c r="E18" s="34" t="str">
        <x:v>코드</x:v>
      </x:c>
      <x:c r="F18" s="43" t="str"/>
      <x:c r="G18" s="43" t="str">
        <x:v>FX-LIVE</x:v>
      </x:c>
      <x:c r="H18" s="34" t="str">
        <x:v>제출완료 여부</x:v>
      </x:c>
      <x:c r="I18" s="64" t="str"/>
    </x:row>
    <x:row r="19">
      <x:c r="A19" s="33" t="n">
        <x:v>15</x:v>
      </x:c>
      <x:c r="B19" s="34" t="str">
        <x:v>오류코드</x:v>
      </x:c>
      <x:c r="C19" s="34" t="str">
        <x:v>입력 오류 또는 반려 사유</x:v>
      </x:c>
      <x:c r="D19" s="34" t="str">
        <x:v>결과</x:v>
      </x:c>
      <x:c r="E19" s="34" t="str">
        <x:v>문자</x:v>
      </x:c>
      <x:c r="F19" s="43" t="str"/>
      <x:c r="G19" s="43" t="str">
        <x:v>FX-LIVE</x:v>
      </x:c>
      <x:c r="H19" s="34" t="str">
        <x:v>오류코드 표준화</x:v>
      </x:c>
      <x:c r="I19" s="64" t="str"/>
    </x:row>
    <x:row r="20">
      <x:c r="A20" s="33" t="n">
        <x:v>16</x:v>
      </x:c>
      <x:c r="B20" s="34" t="str">
        <x:v>입고예정일</x:v>
      </x:c>
      <x:c r="C20" s="34" t="str">
        <x:v>한국 도착 또는 창고 입고 예정일</x:v>
      </x:c>
      <x:c r="D20" s="34" t="str">
        <x:v>조건부</x:v>
      </x:c>
      <x:c r="E20" s="34" t="str">
        <x:v>YYYY-MM-DD</x:v>
      </x:c>
      <x:c r="F20" s="43" t="str"/>
      <x:c r="G20" s="43" t="str">
        <x:v>물류/구매</x:v>
      </x:c>
      <x:c r="H20" s="34" t="str">
        <x:v>필요월도 대비 지연경고</x:v>
      </x:c>
      <x:c r="I20" s="64" t="str"/>
    </x:row>
    <x:row r="21">
      <x:c r="A21" s="33" t="n">
        <x:v>17</x:v>
      </x:c>
      <x:c r="B21" s="34" t="str">
        <x:v>Invoice 번호</x:v>
      </x:c>
      <x:c r="C21" s="34" t="str">
        <x:v>지급대상 Invoice 식별번호</x:v>
      </x:c>
      <x:c r="D21" s="34" t="str">
        <x:v>조건부</x:v>
      </x:c>
      <x:c r="E21" s="34" t="str">
        <x:v>문자</x:v>
      </x:c>
      <x:c r="F21" s="43" t="str"/>
      <x:c r="G21" s="43" t="str">
        <x:v>재무/구매</x:v>
      </x:c>
      <x:c r="H21" s="34" t="str">
        <x:v>PO Match 연결</x:v>
      </x:c>
      <x:c r="I21" s="64" t="str"/>
    </x:row>
    <x:row r="22">
      <x:c r="A22" s="33" t="n">
        <x:v>18</x:v>
      </x:c>
      <x:c r="B22" s="34" t="str">
        <x:v>PO Match 상태</x:v>
      </x:c>
      <x:c r="C22" s="34" t="str">
        <x:v>PO·입고·Invoice 대사 결과</x:v>
      </x:c>
      <x:c r="D22" s="34" t="str">
        <x:v>결과</x:v>
      </x:c>
      <x:c r="E22" s="34" t="str">
        <x:v>코드</x:v>
      </x:c>
      <x:c r="F22" s="43" t="str"/>
      <x:c r="G22" s="43" t="str">
        <x:v>ERP/재무</x:v>
      </x:c>
      <x:c r="H22" s="34" t="str">
        <x:v>Matched/Exception</x:v>
      </x:c>
      <x:c r="I22" s="64" t="str"/>
    </x:row>
  </x:sheetData>
  <x:mergeCells>
    <x:mergeCell ref="A1:I1"/>
    <x:mergeCell ref="A2:I2"/>
  </x:mergeCells>
  <x:pageMargins left="0.7" right="0.7" top="0.75" bottom="0.75" header="0.3" footer="0.3"/>
</x:worksheet>
</file>